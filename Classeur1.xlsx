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lndao\OneDrive\asmbi\"/>
    </mc:Choice>
  </mc:AlternateContent>
  <bookViews>
    <workbookView xWindow="0" yWindow="0" windowWidth="20616" windowHeight="7992" activeTab="4"/>
  </bookViews>
  <sheets>
    <sheet name="Feuil1" sheetId="1" r:id="rId1"/>
    <sheet name="Feuil2" sheetId="2" r:id="rId2"/>
    <sheet name="Feuil3" sheetId="3" r:id="rId3"/>
    <sheet name="fd001" sheetId="5" r:id="rId4"/>
    <sheet name="EXPERIMENTALESETTING" sheetId="8" r:id="rId5"/>
    <sheet name="FD002" sheetId="4" r:id="rId6"/>
    <sheet name="fd003" sheetId="6" r:id="rId7"/>
    <sheet name="fd004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5" l="1"/>
  <c r="N37" i="5"/>
  <c r="M37" i="5"/>
  <c r="L37" i="5"/>
  <c r="K37" i="5"/>
  <c r="J37" i="5"/>
  <c r="I32" i="5"/>
  <c r="N32" i="5"/>
  <c r="M32" i="5"/>
  <c r="L32" i="5"/>
  <c r="K32" i="5"/>
  <c r="J32" i="5"/>
  <c r="J27" i="5"/>
  <c r="I27" i="5"/>
  <c r="N27" i="5"/>
  <c r="M27" i="5"/>
  <c r="L27" i="5"/>
  <c r="K27" i="5"/>
  <c r="J22" i="5"/>
  <c r="I22" i="5"/>
  <c r="N22" i="5"/>
  <c r="M22" i="5"/>
  <c r="L22" i="5"/>
  <c r="K22" i="5"/>
</calcChain>
</file>

<file path=xl/sharedStrings.xml><?xml version="1.0" encoding="utf-8"?>
<sst xmlns="http://schemas.openxmlformats.org/spreadsheetml/2006/main" count="1064" uniqueCount="482">
  <si>
    <t>std_h</t>
  </si>
  <si>
    <t>peak_to_peak_h</t>
  </si>
  <si>
    <t>rms_h</t>
  </si>
  <si>
    <t>mean_abs_h</t>
  </si>
  <si>
    <t>max_abs_h</t>
  </si>
  <si>
    <t>0.9634251</t>
  </si>
  <si>
    <t>0.9629993</t>
  </si>
  <si>
    <t>0.9815855</t>
  </si>
  <si>
    <t>0.968403</t>
  </si>
  <si>
    <t>0.9817001</t>
  </si>
  <si>
    <t>moment_5_v</t>
  </si>
  <si>
    <t>moment_6_v</t>
  </si>
  <si>
    <t>moment_7_v</t>
  </si>
  <si>
    <t>moment_8_v</t>
  </si>
  <si>
    <t>moment_9_v</t>
  </si>
  <si>
    <t>moment_10_v</t>
  </si>
  <si>
    <t>moment_11_v</t>
  </si>
  <si>
    <t>0.8570335</t>
  </si>
  <si>
    <t>0.9322139</t>
  </si>
  <si>
    <t>0.9545633</t>
  </si>
  <si>
    <t>0.9550027</t>
  </si>
  <si>
    <t>0.9845801</t>
  </si>
  <si>
    <t>0.9516716</t>
  </si>
  <si>
    <t>0.9853823</t>
  </si>
  <si>
    <t>mean_freq_freq_h</t>
  </si>
  <si>
    <t>rms_freq_freq_h</t>
  </si>
  <si>
    <t>0.9958301</t>
  </si>
  <si>
    <t>form_factor_h</t>
  </si>
  <si>
    <t>kurtosis_freq_freq_h</t>
  </si>
  <si>
    <t>skewness_freq_freq_h</t>
  </si>
  <si>
    <t>form_factor_freq_freq_h</t>
  </si>
  <si>
    <t>-0.4085175</t>
  </si>
  <si>
    <t>0.7633995</t>
  </si>
  <si>
    <t>0.8730669</t>
  </si>
  <si>
    <t>0.8913924</t>
  </si>
  <si>
    <t>crest_factor_freq_freq_h</t>
  </si>
  <si>
    <t>spectral_entropy_freq_h</t>
  </si>
  <si>
    <t>0.9758356</t>
  </si>
  <si>
    <t>-0.9472354</t>
  </si>
  <si>
    <t>peak_freq_freq_h</t>
  </si>
  <si>
    <t>energy_band_0_freq_h</t>
  </si>
  <si>
    <t>energy_band_10_freq_h</t>
  </si>
  <si>
    <t>energy_band_15_freq_h</t>
  </si>
  <si>
    <t>-0.8005191</t>
  </si>
  <si>
    <t>0.8867494</t>
  </si>
  <si>
    <t>-0.5108259</t>
  </si>
  <si>
    <t>-0.5791703</t>
  </si>
  <si>
    <t>max_abs_v</t>
  </si>
  <si>
    <t>max_amplitude_freq_v</t>
  </si>
  <si>
    <t>mean_freq_freq_v</t>
  </si>
  <si>
    <t>rms_freq_freq_v</t>
  </si>
  <si>
    <t>std_freq_freq_v</t>
  </si>
  <si>
    <t>0.9581675</t>
  </si>
  <si>
    <t>0.9846627</t>
  </si>
  <si>
    <t>0.9620603</t>
  </si>
  <si>
    <t>0.9951864</t>
  </si>
  <si>
    <t>0.955226</t>
  </si>
  <si>
    <t>kurtosis_freq_freq_v</t>
  </si>
  <si>
    <t>skewness_freq_freq_v</t>
  </si>
  <si>
    <t>form_factor_freq_freq_v</t>
  </si>
  <si>
    <t>crest_factor_freq_freq_v</t>
  </si>
  <si>
    <t>0.7168124</t>
  </si>
  <si>
    <t>0.8559963</t>
  </si>
  <si>
    <t>0.8947652</t>
  </si>
  <si>
    <t>0.9804075</t>
  </si>
  <si>
    <t>spectral_entropy_freq_v</t>
  </si>
  <si>
    <t>-0.9515964</t>
  </si>
  <si>
    <t>peak_freq_freq_v</t>
  </si>
  <si>
    <t>energy_band_0_freq_v</t>
  </si>
  <si>
    <t>energy_band_5_freq_v</t>
  </si>
  <si>
    <t>energy_band_10_freq_v</t>
  </si>
  <si>
    <t>0.9084216</t>
  </si>
  <si>
    <t>-0.4511433</t>
  </si>
  <si>
    <t>-0.5785355</t>
  </si>
  <si>
    <t>-0.5372183</t>
  </si>
  <si>
    <t>energy_band_20_freq_v</t>
  </si>
  <si>
    <t>0.8964987</t>
  </si>
  <si>
    <t>energy_h</t>
  </si>
  <si>
    <t>variance_freq_freq_h</t>
  </si>
  <si>
    <t>imf_energy_0_tf_h</t>
  </si>
  <si>
    <t>integral_energy_h</t>
  </si>
  <si>
    <t>0.9648734</t>
  </si>
  <si>
    <t>0.9504041</t>
  </si>
  <si>
    <t>0.9703218</t>
  </si>
  <si>
    <t>0.981358</t>
  </si>
  <si>
    <t>imf_rms_1_tf_h</t>
  </si>
  <si>
    <t>imf_energy_1_tf_h</t>
  </si>
  <si>
    <t>imf_rms_2_tf_h</t>
  </si>
  <si>
    <t>imf_energy_2_tf_h</t>
  </si>
  <si>
    <t>0.9063369</t>
  </si>
  <si>
    <t>0.9061801</t>
  </si>
  <si>
    <t>0.9053099</t>
  </si>
  <si>
    <t>0.9080815</t>
  </si>
  <si>
    <t>imf_rms_3_tf_h</t>
  </si>
  <si>
    <t>imf_energy_3_tf_h</t>
  </si>
  <si>
    <t>imf_rms_4_tf_h</t>
  </si>
  <si>
    <t>imf_energy_4_tf_h</t>
  </si>
  <si>
    <t>0.8715462</t>
  </si>
  <si>
    <t>0.835334</t>
  </si>
  <si>
    <t>0.840598</t>
  </si>
  <si>
    <t>0.8627269</t>
  </si>
  <si>
    <t>imf_rms_0_tf_v</t>
  </si>
  <si>
    <t>imf_rms_1_tf_v</t>
  </si>
  <si>
    <t>imf_rms_2_tf_v</t>
  </si>
  <si>
    <t>0.9125815</t>
  </si>
  <si>
    <t>0.9618357</t>
  </si>
  <si>
    <t>0.9529146</t>
  </si>
  <si>
    <t>imf_energy_1_tf_v</t>
  </si>
  <si>
    <t>imf_energy_2_tf_v</t>
  </si>
  <si>
    <t>0.9557055</t>
  </si>
  <si>
    <t>imf_rms_3_tf_v</t>
  </si>
  <si>
    <t>imf_energy_3_tf_v</t>
  </si>
  <si>
    <t>0.8871962</t>
  </si>
  <si>
    <t>energy_v</t>
  </si>
  <si>
    <t>imf_rms_4_tf_v</t>
  </si>
  <si>
    <t>imf_energy_4_tf_v</t>
  </si>
  <si>
    <t>derivative_energy_v</t>
  </si>
  <si>
    <t>0.932168</t>
  </si>
  <si>
    <t>0.796385</t>
  </si>
  <si>
    <t>0.8981101</t>
  </si>
  <si>
    <t>0.8706618</t>
  </si>
  <si>
    <t>energy_band_20_freq_h</t>
  </si>
  <si>
    <t>derivative_std_h</t>
  </si>
  <si>
    <t>derivative_peak_to_peak_h</t>
  </si>
  <si>
    <t>derivative_rms_h</t>
  </si>
  <si>
    <t>0.6039998</t>
  </si>
  <si>
    <t>0.9926725</t>
  </si>
  <si>
    <t>0.9880011</t>
  </si>
  <si>
    <t>0.9933852</t>
  </si>
  <si>
    <t>derivative_mean_abs_h</t>
  </si>
  <si>
    <t>derivative_max_abs_h</t>
  </si>
  <si>
    <t>derivative_energy_h</t>
  </si>
  <si>
    <t>0.9813867</t>
  </si>
  <si>
    <t>0.9753508</t>
  </si>
  <si>
    <t>0.8552785</t>
  </si>
  <si>
    <t>derivative_skewness_h</t>
  </si>
  <si>
    <t>derivative_kurtosis_h</t>
  </si>
  <si>
    <t>derivative_form_factor_h</t>
  </si>
  <si>
    <t>derivative_crest_factor_h</t>
  </si>
  <si>
    <t>0.6084692</t>
  </si>
  <si>
    <t>0.6641986</t>
  </si>
  <si>
    <t>0.6808019</t>
  </si>
  <si>
    <t>0.8980589</t>
  </si>
  <si>
    <t>derivative_impulse_factor_h</t>
  </si>
  <si>
    <t>derivative_margin_factor_h</t>
  </si>
  <si>
    <t>0.9810109</t>
  </si>
  <si>
    <t>0.9849988</t>
  </si>
  <si>
    <t>derivative_moment_5_h</t>
  </si>
  <si>
    <t>derivative_moment_6_h</t>
  </si>
  <si>
    <t>derivative_moment_7_h</t>
  </si>
  <si>
    <t>derivative_moment_8_h</t>
  </si>
  <si>
    <t>0.8306768</t>
  </si>
  <si>
    <t>-0.9078369</t>
  </si>
  <si>
    <t>0.9598746</t>
  </si>
  <si>
    <t>-0.9448929</t>
  </si>
  <si>
    <t>derivative_moment_9_h</t>
  </si>
  <si>
    <t>derivative_moment_10_h</t>
  </si>
  <si>
    <t>derivative_moment_11_h</t>
  </si>
  <si>
    <t>0.9717379</t>
  </si>
  <si>
    <t>-0.9529108</t>
  </si>
  <si>
    <t>0.9639681</t>
  </si>
  <si>
    <t>derivative_mean_v</t>
  </si>
  <si>
    <t>std_v</t>
  </si>
  <si>
    <t>peak_to_peak_v</t>
  </si>
  <si>
    <t>rms_v</t>
  </si>
  <si>
    <t>mean_abs_v</t>
  </si>
  <si>
    <t>derivative_std_v</t>
  </si>
  <si>
    <t>derivative_peak_to_peak_v</t>
  </si>
  <si>
    <t>0.9869464</t>
  </si>
  <si>
    <t>0.9716828</t>
  </si>
  <si>
    <t>0.9816247</t>
  </si>
  <si>
    <t>0.9768434</t>
  </si>
  <si>
    <t>0.9870847</t>
  </si>
  <si>
    <t>0.9848065</t>
  </si>
  <si>
    <t>derivative_rms_v</t>
  </si>
  <si>
    <t>derivative_mean_abs_v</t>
  </si>
  <si>
    <t>derivative_max_abs_v</t>
  </si>
  <si>
    <t>0.9879485</t>
  </si>
  <si>
    <t>0.9742003</t>
  </si>
  <si>
    <t>0.9814985</t>
  </si>
  <si>
    <t>kurtosis_v</t>
  </si>
  <si>
    <t>form_factor_v</t>
  </si>
  <si>
    <t>derivative_skewness_v</t>
  </si>
  <si>
    <t>derivative_kurtosis_v</t>
  </si>
  <si>
    <t>derivative_form_factor_v</t>
  </si>
  <si>
    <t>0.5733793</t>
  </si>
  <si>
    <t>0.517432</t>
  </si>
  <si>
    <t>0.4987659</t>
  </si>
  <si>
    <t>0.7702571</t>
  </si>
  <si>
    <t>0.7911665</t>
  </si>
  <si>
    <t>derivative_crest_factor_v</t>
  </si>
  <si>
    <t>derivative_impulse_factor_v</t>
  </si>
  <si>
    <t>derivative_margin_factor_v</t>
  </si>
  <si>
    <t>0.8384521</t>
  </si>
  <si>
    <t>0.9476722</t>
  </si>
  <si>
    <t>0.9607919</t>
  </si>
  <si>
    <t>derivative_moment_5_v</t>
  </si>
  <si>
    <t>derivative_moment_7_v</t>
  </si>
  <si>
    <t>derivative_moment_9_v</t>
  </si>
  <si>
    <t>derivative_moment_11_v</t>
  </si>
  <si>
    <t>0.8789631</t>
  </si>
  <si>
    <t>0.9963855</t>
  </si>
  <si>
    <t>0.9822261</t>
  </si>
  <si>
    <t>0.9482642</t>
  </si>
  <si>
    <t>derivative_moment_6_v</t>
  </si>
  <si>
    <t>derivative_moment_8_v</t>
  </si>
  <si>
    <t>derivative_moment_10_v</t>
  </si>
  <si>
    <t>0.9901466</t>
  </si>
  <si>
    <t>0.9995866</t>
  </si>
  <si>
    <t>0.993606</t>
  </si>
  <si>
    <t>mean_h</t>
  </si>
  <si>
    <t>integral_mean_h</t>
  </si>
  <si>
    <t>0.9807194</t>
  </si>
  <si>
    <t>max_amplitude_freq_h</t>
  </si>
  <si>
    <t>std_freq_freq_h</t>
  </si>
  <si>
    <t>integral_std_h</t>
  </si>
  <si>
    <t>integral_peak_to_peak_h</t>
  </si>
  <si>
    <t>0.992535</t>
  </si>
  <si>
    <t>0.9906177</t>
  </si>
  <si>
    <t>0.9910914</t>
  </si>
  <si>
    <t>0.9938355</t>
  </si>
  <si>
    <t>imf_rms_0_tf_h</t>
  </si>
  <si>
    <t>integral_rms_h</t>
  </si>
  <si>
    <t>integral_mean_abs_h</t>
  </si>
  <si>
    <t>integral_max_abs_h</t>
  </si>
  <si>
    <t>0.9863861</t>
  </si>
  <si>
    <t>0.9980978</t>
  </si>
  <si>
    <t>0.9943563</t>
  </si>
  <si>
    <t>0.9861453</t>
  </si>
  <si>
    <t>integral_kurtosis_h</t>
  </si>
  <si>
    <t>integral_form_factor_h</t>
  </si>
  <si>
    <t>-0.7270735</t>
  </si>
  <si>
    <t>0.7270735</t>
  </si>
  <si>
    <t>crest_factor_h</t>
  </si>
  <si>
    <t>impulse_factor_h</t>
  </si>
  <si>
    <t>margin_factor_h</t>
  </si>
  <si>
    <t>integral_crest_factor_h</t>
  </si>
  <si>
    <t>integral_impulse_factor_h</t>
  </si>
  <si>
    <t>0.9014132</t>
  </si>
  <si>
    <t>0.8921035</t>
  </si>
  <si>
    <t>0.8638784</t>
  </si>
  <si>
    <t>0.8982752</t>
  </si>
  <si>
    <t>0.8961935</t>
  </si>
  <si>
    <t>integral_margin_factor_h</t>
  </si>
  <si>
    <t>0.881309</t>
  </si>
  <si>
    <t>moment_5_h</t>
  </si>
  <si>
    <t>moment_6_h</t>
  </si>
  <si>
    <t>moment_7_h</t>
  </si>
  <si>
    <t>moment_8_h</t>
  </si>
  <si>
    <t>moment_9_h</t>
  </si>
  <si>
    <t>moment_10_h</t>
  </si>
  <si>
    <t>moment_11_h</t>
  </si>
  <si>
    <t>0.8822485</t>
  </si>
  <si>
    <t>0.8523566</t>
  </si>
  <si>
    <t>0.9482681</t>
  </si>
  <si>
    <t>0.9235542</t>
  </si>
  <si>
    <t>0.9681222</t>
  </si>
  <si>
    <t>0.9477922</t>
  </si>
  <si>
    <t>0.9702786</t>
  </si>
  <si>
    <t>integral_moment_5_h</t>
  </si>
  <si>
    <t>integral_moment_6_h</t>
  </si>
  <si>
    <t>integral_moment_7_h</t>
  </si>
  <si>
    <t>integral_moment_8_h</t>
  </si>
  <si>
    <t>integral_moment_9_h</t>
  </si>
  <si>
    <t>0.8984575</t>
  </si>
  <si>
    <t>0.8940823</t>
  </si>
  <si>
    <t>0.9766454</t>
  </si>
  <si>
    <t>0.9724748</t>
  </si>
  <si>
    <t>0.9865077</t>
  </si>
  <si>
    <t>integral_moment_10_h</t>
  </si>
  <si>
    <t>integral_moment_11_h</t>
  </si>
  <si>
    <t>0.9850399</t>
  </si>
  <si>
    <t>0.9843441</t>
  </si>
  <si>
    <t>integral_std_v</t>
  </si>
  <si>
    <t>integral_peak_to_peak_v</t>
  </si>
  <si>
    <t>integral_rms_v</t>
  </si>
  <si>
    <t>integral_mean_abs_v</t>
  </si>
  <si>
    <t>integral_max_abs_v</t>
  </si>
  <si>
    <t>0.9554509</t>
  </si>
  <si>
    <t>0.9553371</t>
  </si>
  <si>
    <t>0.9768986</t>
  </si>
  <si>
    <t>0.9577287</t>
  </si>
  <si>
    <t>0.9887853</t>
  </si>
  <si>
    <t>integral_kurtosis_v</t>
  </si>
  <si>
    <t>integral_form_factor_v</t>
  </si>
  <si>
    <t>0.738847</t>
  </si>
  <si>
    <t>mean_v</t>
  </si>
  <si>
    <t>crest_factor_v</t>
  </si>
  <si>
    <t>impulse_factor_v</t>
  </si>
  <si>
    <t>margin_factor_v</t>
  </si>
  <si>
    <t>integral_mean_v</t>
  </si>
  <si>
    <t>integral_crest_factor_v</t>
  </si>
  <si>
    <t>0.697431</t>
  </si>
  <si>
    <t>0.7574085</t>
  </si>
  <si>
    <t>0.7310455</t>
  </si>
  <si>
    <t>0.6851949</t>
  </si>
  <si>
    <t>0.7182912</t>
  </si>
  <si>
    <t>0.8502646</t>
  </si>
  <si>
    <t>integral_impulse_factor_v</t>
  </si>
  <si>
    <t>integral_margin_factor_v</t>
  </si>
  <si>
    <t>0.842049</t>
  </si>
  <si>
    <t>0.8245255</t>
  </si>
  <si>
    <t>variance_freq_freq_v</t>
  </si>
  <si>
    <t>imf_energy_0_tf_v</t>
  </si>
  <si>
    <t>integral_energy_v</t>
  </si>
  <si>
    <t>0.8965608</t>
  </si>
  <si>
    <t>0.9705463</t>
  </si>
  <si>
    <t>0.9686772</t>
  </si>
  <si>
    <t>integral_moment_6_v</t>
  </si>
  <si>
    <t>integral_moment_8_v</t>
  </si>
  <si>
    <t>integral_moment_10_v</t>
  </si>
  <si>
    <t>0.9927903</t>
  </si>
  <si>
    <t>0.999915</t>
  </si>
  <si>
    <t>0.9932814</t>
  </si>
  <si>
    <t>integral_moment_5_v</t>
  </si>
  <si>
    <t>integral_moment_7_v</t>
  </si>
  <si>
    <t>integral_moment_9_v</t>
  </si>
  <si>
    <t>integral_moment_11_v</t>
  </si>
  <si>
    <t>0.9579492</t>
  </si>
  <si>
    <t>0.9985115</t>
  </si>
  <si>
    <t>0.9936064</t>
  </si>
  <si>
    <t>0.9768911</t>
  </si>
  <si>
    <t>C1</t>
  </si>
  <si>
    <t>C2</t>
  </si>
  <si>
    <t>C3</t>
  </si>
  <si>
    <t>Cluster1</t>
  </si>
  <si>
    <t>Cluster 2</t>
  </si>
  <si>
    <t xml:space="preserve">Cluster 4 </t>
  </si>
  <si>
    <t>Cluster 5</t>
  </si>
  <si>
    <t>cluster 6</t>
  </si>
  <si>
    <t>Cluster 7</t>
  </si>
  <si>
    <t>Cluster 8</t>
  </si>
  <si>
    <t>Cluster 9</t>
  </si>
  <si>
    <t>Cluster 10</t>
  </si>
  <si>
    <t>Cluster 11</t>
  </si>
  <si>
    <t>Cluster 12</t>
  </si>
  <si>
    <t>Cluster 13</t>
  </si>
  <si>
    <t>Cluster 14</t>
  </si>
  <si>
    <t>Cluster 15</t>
  </si>
  <si>
    <t>Cluster 16</t>
  </si>
  <si>
    <t>Cluster 17</t>
  </si>
  <si>
    <t>Cluster 18</t>
  </si>
  <si>
    <t>Cluster 19</t>
  </si>
  <si>
    <t>Cluster 20</t>
  </si>
  <si>
    <t>Clsuter 21</t>
  </si>
  <si>
    <t>Cluster 22</t>
  </si>
  <si>
    <t>Cluster 23</t>
  </si>
  <si>
    <t>Cluster 24</t>
  </si>
  <si>
    <t>Cluster 25</t>
  </si>
  <si>
    <t>Cluster 26</t>
  </si>
  <si>
    <t>Cluster 27</t>
  </si>
  <si>
    <t>Cluster 28</t>
  </si>
  <si>
    <t>Cluster 29</t>
  </si>
  <si>
    <t>Cluster 30</t>
  </si>
  <si>
    <t>Cluster 31</t>
  </si>
  <si>
    <t>Cluster 32</t>
  </si>
  <si>
    <t>Cluster 33</t>
  </si>
  <si>
    <t>Cluster 34</t>
  </si>
  <si>
    <t>Cluster 35</t>
  </si>
  <si>
    <t>Cluster 37</t>
  </si>
  <si>
    <t>Cluster 3</t>
  </si>
  <si>
    <t>Cluster 36</t>
  </si>
  <si>
    <t>RMSE</t>
  </si>
  <si>
    <t>S_score</t>
  </si>
  <si>
    <t>MSE</t>
  </si>
  <si>
    <t>proposed method</t>
  </si>
  <si>
    <t>pca</t>
  </si>
  <si>
    <t>base</t>
  </si>
  <si>
    <t>23.540787197435037</t>
  </si>
  <si>
    <t>3249.1237708226636</t>
  </si>
  <si>
    <t>554.168701171875</t>
  </si>
  <si>
    <t>26.608995374913825</t>
  </si>
  <si>
    <t>10540.041641635176</t>
  </si>
  <si>
    <t>708.0386962890625</t>
  </si>
  <si>
    <t>24.94904121841064</t>
  </si>
  <si>
    <t>4426.846722471043</t>
  </si>
  <si>
    <t>622.4546508789062</t>
  </si>
  <si>
    <t>26.832192355852083</t>
  </si>
  <si>
    <t>4031.455326410402</t>
  </si>
  <si>
    <t>719.966552734375</t>
  </si>
  <si>
    <t>26.628517078268622</t>
  </si>
  <si>
    <t>8183.105447632159</t>
  </si>
  <si>
    <t>709.077880859375</t>
  </si>
  <si>
    <t>16.742476801337855</t>
  </si>
  <si>
    <t>1304.576739105241</t>
  </si>
  <si>
    <t>280.310546875</t>
  </si>
  <si>
    <t>19.04189904468305</t>
  </si>
  <si>
    <t>8248.457896056272</t>
  </si>
  <si>
    <t>362.59393310546875</t>
  </si>
  <si>
    <t>17.63549355419526</t>
  </si>
  <si>
    <t>1783.9643193276665</t>
  </si>
  <si>
    <t>311.0106506347656</t>
  </si>
  <si>
    <t>17.09329497692175</t>
  </si>
  <si>
    <t>1889.2056248345477</t>
  </si>
  <si>
    <t>292.18072509765625</t>
  </si>
  <si>
    <t>17.384911841982785</t>
  </si>
  <si>
    <t>1440.3365924119475</t>
  </si>
  <si>
    <t>302.23516845703125</t>
  </si>
  <si>
    <t>18.9024299769288</t>
  </si>
  <si>
    <t>2310.933324516621</t>
  </si>
  <si>
    <t>357.3018493652344</t>
  </si>
  <si>
    <t>14.837873822451508</t>
  </si>
  <si>
    <t>1377.8402549530156</t>
  </si>
  <si>
    <t>220.16250610351562</t>
  </si>
  <si>
    <t>18.85686838613398</t>
  </si>
  <si>
    <t>2858.685112211754</t>
  </si>
  <si>
    <t>355.58148193359375</t>
  </si>
  <si>
    <t>16.112819253820525</t>
  </si>
  <si>
    <t>1236.3600292290848</t>
  </si>
  <si>
    <t>259.6229553222656</t>
  </si>
  <si>
    <t>18.711384039729094</t>
  </si>
  <si>
    <t>5717.449215094079</t>
  </si>
  <si>
    <t>350.11590576171875</t>
  </si>
  <si>
    <t>33.51771404511473</t>
  </si>
  <si>
    <t>20798.519974133666</t>
  </si>
  <si>
    <t>1123.4371337890625</t>
  </si>
  <si>
    <t>30.657440278461944</t>
  </si>
  <si>
    <t>11337.076397589357</t>
  </si>
  <si>
    <t>939.8787231445312</t>
  </si>
  <si>
    <t>27.93559979085103</t>
  </si>
  <si>
    <t>7179.744395160539</t>
  </si>
  <si>
    <t>780.3977661132812</t>
  </si>
  <si>
    <t>33.05768121504913</t>
  </si>
  <si>
    <t>14701.55098676217</t>
  </si>
  <si>
    <t>1092.810302734375</t>
  </si>
  <si>
    <t>31.38015697295756</t>
  </si>
  <si>
    <t>11612.759987895011</t>
  </si>
  <si>
    <t>984.7142944335938</t>
  </si>
  <si>
    <t>FD001</t>
  </si>
  <si>
    <t>FD002</t>
  </si>
  <si>
    <t>FD003</t>
  </si>
  <si>
    <t>FD004</t>
  </si>
  <si>
    <t>17.54405916115304</t>
  </si>
  <si>
    <t>1048.6754734932774</t>
  </si>
  <si>
    <t>307.7940368652344</t>
  </si>
  <si>
    <t>15.370332976795426</t>
  </si>
  <si>
    <t>1056.0892984532873</t>
  </si>
  <si>
    <t>236.24713134765625</t>
  </si>
  <si>
    <t>15.391460475179095</t>
  </si>
  <si>
    <t>1027.0640052877338</t>
  </si>
  <si>
    <t>236.89706420898438</t>
  </si>
  <si>
    <t>15.892347633432536</t>
  </si>
  <si>
    <t>1188.0628389706299</t>
  </si>
  <si>
    <t>252.56674194335938</t>
  </si>
  <si>
    <t>15.914255596248898</t>
  </si>
  <si>
    <t>1162.119403663732</t>
  </si>
  <si>
    <t>253.26351928710938</t>
  </si>
  <si>
    <t>27.169471791413077</t>
  </si>
  <si>
    <t>1606.8094501156393</t>
  </si>
  <si>
    <t>738.18017578125</t>
  </si>
  <si>
    <t>27.634919543323385</t>
  </si>
  <si>
    <t>1340.8603127239708</t>
  </si>
  <si>
    <t>763.6888427734375</t>
  </si>
  <si>
    <t>26.56063597718997</t>
  </si>
  <si>
    <t>1262.1155646270338</t>
  </si>
  <si>
    <t>705.4673461914062</t>
  </si>
  <si>
    <t>29.689165465592648</t>
  </si>
  <si>
    <t>1721.2572248443537</t>
  </si>
  <si>
    <t>881.446533203125</t>
  </si>
  <si>
    <t>27.079166159392347</t>
  </si>
  <si>
    <t>1642.169688448813</t>
  </si>
  <si>
    <t>733.28125</t>
  </si>
  <si>
    <t>proposed model</t>
  </si>
  <si>
    <t>PCA +LSTM</t>
  </si>
  <si>
    <t>Mean</t>
  </si>
  <si>
    <t>Std</t>
  </si>
  <si>
    <t>STd</t>
  </si>
  <si>
    <t>Parameters</t>
  </si>
  <si>
    <t>TW</t>
  </si>
  <si>
    <t>alpha</t>
  </si>
  <si>
    <t>RULerlay</t>
  </si>
  <si>
    <t>Nodes</t>
  </si>
  <si>
    <t>Dropout</t>
  </si>
  <si>
    <t>Activation</t>
  </si>
  <si>
    <t>tanh</t>
  </si>
  <si>
    <t>Optimizer</t>
  </si>
  <si>
    <t>Adam</t>
  </si>
  <si>
    <t>Epochs</t>
  </si>
  <si>
    <t>Nb layers</t>
  </si>
  <si>
    <t>Batch size</t>
  </si>
  <si>
    <t>Learning rate</t>
  </si>
  <si>
    <t>Nb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</si>
</sst>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164" fontId="0" fillId="0" borderId="4" xfId="0" applyNumberFormat="1" applyBorder="1"/>
    <xf numFmtId="164" fontId="0" fillId="0" borderId="0" xfId="0" applyNumberFormat="1" applyBorder="1"/>
    <xf numFmtId="0" fontId="0" fillId="0" borderId="7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2" xfId="0" applyBorder="1"/>
    <xf numFmtId="2" fontId="0" fillId="0" borderId="1" xfId="0" applyNumberFormat="1" applyBorder="1"/>
    <xf numFmtId="2" fontId="0" fillId="0" borderId="3" xfId="0" applyNumberFormat="1" applyBorder="1"/>
    <xf numFmtId="2" fontId="0" fillId="0" borderId="0" xfId="0" applyNumberFormat="1"/>
    <xf numFmtId="2" fontId="0" fillId="0" borderId="0" xfId="0" applyNumberFormat="1" applyBorder="1"/>
    <xf numFmtId="0" fontId="0" fillId="0" borderId="1" xfId="0" applyBorder="1" applyAlignment="1"/>
    <xf numFmtId="0" fontId="0" fillId="0" borderId="0" xfId="0" applyBorder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topLeftCell="A5" workbookViewId="0">
      <selection activeCell="A5" sqref="A5:A6"/>
    </sheetView>
  </sheetViews>
  <sheetFormatPr baseColWidth="10" defaultRowHeight="14.4" x14ac:dyDescent="0.3"/>
  <cols>
    <col min="2" max="2" width="24.44140625" bestFit="1" customWidth="1"/>
    <col min="3" max="3" width="24.33203125" bestFit="1" customWidth="1"/>
    <col min="4" max="4" width="23.77734375" bestFit="1" customWidth="1"/>
    <col min="5" max="5" width="22.21875" bestFit="1" customWidth="1"/>
    <col min="6" max="6" width="11.44140625" customWidth="1"/>
    <col min="7" max="7" width="23.6640625" bestFit="1" customWidth="1"/>
  </cols>
  <sheetData>
    <row r="1" spans="1:8" x14ac:dyDescent="0.3">
      <c r="A1" s="16" t="s">
        <v>322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3">
      <c r="A2" s="16"/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8" x14ac:dyDescent="0.3">
      <c r="A3" s="17" t="s">
        <v>323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3">
      <c r="A4" s="17"/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3">
      <c r="A5" t="s">
        <v>324</v>
      </c>
      <c r="B5" t="s">
        <v>24</v>
      </c>
      <c r="C5" t="s">
        <v>25</v>
      </c>
    </row>
    <row r="6" spans="1:8" x14ac:dyDescent="0.3">
      <c r="B6" t="s">
        <v>26</v>
      </c>
      <c r="C6" t="s">
        <v>26</v>
      </c>
    </row>
    <row r="9" spans="1:8" x14ac:dyDescent="0.3">
      <c r="B9" t="s">
        <v>27</v>
      </c>
      <c r="C9" t="s">
        <v>28</v>
      </c>
      <c r="D9" t="s">
        <v>29</v>
      </c>
      <c r="E9" t="s">
        <v>30</v>
      </c>
    </row>
    <row r="10" spans="1:8" x14ac:dyDescent="0.3">
      <c r="B10" t="s">
        <v>31</v>
      </c>
      <c r="C10" t="s">
        <v>32</v>
      </c>
      <c r="D10" t="s">
        <v>33</v>
      </c>
      <c r="E10" t="s">
        <v>34</v>
      </c>
    </row>
    <row r="11" spans="1:8" x14ac:dyDescent="0.3">
      <c r="B11" t="s">
        <v>35</v>
      </c>
      <c r="C11" t="s">
        <v>36</v>
      </c>
    </row>
    <row r="12" spans="1:8" x14ac:dyDescent="0.3">
      <c r="B12" t="s">
        <v>37</v>
      </c>
      <c r="C12" t="s">
        <v>38</v>
      </c>
    </row>
    <row r="15" spans="1:8" x14ac:dyDescent="0.3">
      <c r="B15" t="s">
        <v>39</v>
      </c>
      <c r="C15" t="s">
        <v>40</v>
      </c>
      <c r="D15" t="s">
        <v>41</v>
      </c>
      <c r="E15" t="s">
        <v>42</v>
      </c>
    </row>
    <row r="16" spans="1:8" x14ac:dyDescent="0.3">
      <c r="B16" t="s">
        <v>43</v>
      </c>
      <c r="C16" t="s">
        <v>44</v>
      </c>
      <c r="D16" t="s">
        <v>45</v>
      </c>
      <c r="E16" t="s">
        <v>46</v>
      </c>
    </row>
    <row r="19" spans="2:6" x14ac:dyDescent="0.3">
      <c r="B19" t="s">
        <v>47</v>
      </c>
      <c r="C19" t="s">
        <v>48</v>
      </c>
      <c r="D19" t="s">
        <v>49</v>
      </c>
      <c r="E19" t="s">
        <v>50</v>
      </c>
      <c r="F19" t="s">
        <v>51</v>
      </c>
    </row>
    <row r="20" spans="2:6" x14ac:dyDescent="0.3">
      <c r="B20" t="s">
        <v>52</v>
      </c>
      <c r="C20" t="s">
        <v>53</v>
      </c>
      <c r="D20" t="s">
        <v>54</v>
      </c>
      <c r="E20" t="s">
        <v>55</v>
      </c>
      <c r="F20" t="s">
        <v>56</v>
      </c>
    </row>
    <row r="23" spans="2:6" x14ac:dyDescent="0.3">
      <c r="B23" t="s">
        <v>57</v>
      </c>
      <c r="C23" t="s">
        <v>58</v>
      </c>
      <c r="D23" t="s">
        <v>59</v>
      </c>
      <c r="E23" t="s">
        <v>60</v>
      </c>
    </row>
    <row r="24" spans="2:6" x14ac:dyDescent="0.3">
      <c r="B24" t="s">
        <v>61</v>
      </c>
      <c r="C24" t="s">
        <v>62</v>
      </c>
      <c r="D24" t="s">
        <v>63</v>
      </c>
      <c r="E24" t="s">
        <v>64</v>
      </c>
    </row>
    <row r="25" spans="2:6" x14ac:dyDescent="0.3">
      <c r="B25" t="s">
        <v>65</v>
      </c>
    </row>
    <row r="26" spans="2:6" x14ac:dyDescent="0.3">
      <c r="B26" t="s">
        <v>66</v>
      </c>
    </row>
    <row r="29" spans="2:6" x14ac:dyDescent="0.3">
      <c r="B29" t="s">
        <v>67</v>
      </c>
      <c r="C29" t="s">
        <v>68</v>
      </c>
      <c r="D29" t="s">
        <v>69</v>
      </c>
      <c r="E29" t="s">
        <v>70</v>
      </c>
    </row>
    <row r="30" spans="2:6" x14ac:dyDescent="0.3">
      <c r="B30" t="s">
        <v>71</v>
      </c>
      <c r="C30" t="s">
        <v>72</v>
      </c>
      <c r="D30" t="s">
        <v>73</v>
      </c>
      <c r="E30" t="s">
        <v>74</v>
      </c>
    </row>
    <row r="31" spans="2:6" x14ac:dyDescent="0.3">
      <c r="B31" t="s">
        <v>75</v>
      </c>
    </row>
    <row r="32" spans="2:6" x14ac:dyDescent="0.3">
      <c r="B32" t="s">
        <v>76</v>
      </c>
    </row>
    <row r="35" spans="2:5" x14ac:dyDescent="0.3">
      <c r="B35" t="s">
        <v>77</v>
      </c>
      <c r="C35" t="s">
        <v>78</v>
      </c>
      <c r="D35" t="s">
        <v>79</v>
      </c>
      <c r="E35" t="s">
        <v>80</v>
      </c>
    </row>
    <row r="36" spans="2:5" x14ac:dyDescent="0.3">
      <c r="B36" t="s">
        <v>81</v>
      </c>
      <c r="C36" t="s">
        <v>82</v>
      </c>
      <c r="D36" t="s">
        <v>83</v>
      </c>
      <c r="E36" t="s">
        <v>84</v>
      </c>
    </row>
    <row r="39" spans="2:5" x14ac:dyDescent="0.3">
      <c r="B39" t="s">
        <v>85</v>
      </c>
      <c r="C39" t="s">
        <v>86</v>
      </c>
      <c r="D39" t="s">
        <v>87</v>
      </c>
      <c r="E39" t="s">
        <v>88</v>
      </c>
    </row>
    <row r="40" spans="2:5" x14ac:dyDescent="0.3">
      <c r="B40" t="s">
        <v>89</v>
      </c>
      <c r="C40" t="s">
        <v>90</v>
      </c>
      <c r="D40" t="s">
        <v>91</v>
      </c>
      <c r="E40" t="s">
        <v>92</v>
      </c>
    </row>
    <row r="43" spans="2:5" x14ac:dyDescent="0.3">
      <c r="B43" t="s">
        <v>93</v>
      </c>
      <c r="C43" t="s">
        <v>94</v>
      </c>
      <c r="D43" t="s">
        <v>95</v>
      </c>
      <c r="E43" t="s">
        <v>96</v>
      </c>
    </row>
    <row r="44" spans="2:5" x14ac:dyDescent="0.3">
      <c r="B44" t="s">
        <v>97</v>
      </c>
      <c r="C44" t="s">
        <v>98</v>
      </c>
      <c r="D44" t="s">
        <v>99</v>
      </c>
      <c r="E44" t="s">
        <v>100</v>
      </c>
    </row>
    <row r="47" spans="2:5" x14ac:dyDescent="0.3">
      <c r="B47" t="s">
        <v>101</v>
      </c>
      <c r="C47" t="s">
        <v>102</v>
      </c>
      <c r="D47" t="s">
        <v>103</v>
      </c>
    </row>
    <row r="48" spans="2:5" x14ac:dyDescent="0.3">
      <c r="B48" t="s">
        <v>104</v>
      </c>
      <c r="C48" t="s">
        <v>105</v>
      </c>
      <c r="D48" t="s">
        <v>106</v>
      </c>
    </row>
    <row r="51" spans="2:5" x14ac:dyDescent="0.3">
      <c r="B51" t="s">
        <v>107</v>
      </c>
      <c r="C51" t="s">
        <v>108</v>
      </c>
    </row>
    <row r="52" spans="2:5" x14ac:dyDescent="0.3">
      <c r="B52" t="s">
        <v>109</v>
      </c>
      <c r="C52" t="s">
        <v>109</v>
      </c>
    </row>
    <row r="55" spans="2:5" x14ac:dyDescent="0.3">
      <c r="B55" t="s">
        <v>110</v>
      </c>
      <c r="C55" t="s">
        <v>111</v>
      </c>
    </row>
    <row r="56" spans="2:5" x14ac:dyDescent="0.3">
      <c r="B56" t="s">
        <v>112</v>
      </c>
      <c r="C56" t="s">
        <v>112</v>
      </c>
    </row>
    <row r="59" spans="2:5" x14ac:dyDescent="0.3">
      <c r="B59" t="s">
        <v>113</v>
      </c>
      <c r="C59" t="s">
        <v>114</v>
      </c>
      <c r="D59" t="s">
        <v>115</v>
      </c>
      <c r="E59" t="s">
        <v>116</v>
      </c>
    </row>
    <row r="60" spans="2:5" x14ac:dyDescent="0.3">
      <c r="B60" t="s">
        <v>117</v>
      </c>
      <c r="C60" t="s">
        <v>118</v>
      </c>
      <c r="D60" t="s">
        <v>119</v>
      </c>
      <c r="E60" t="s">
        <v>120</v>
      </c>
    </row>
    <row r="63" spans="2:5" x14ac:dyDescent="0.3">
      <c r="B63" t="s">
        <v>121</v>
      </c>
      <c r="C63" t="s">
        <v>122</v>
      </c>
      <c r="D63" t="s">
        <v>123</v>
      </c>
      <c r="E63" t="s">
        <v>124</v>
      </c>
    </row>
    <row r="64" spans="2:5" x14ac:dyDescent="0.3">
      <c r="B64" t="s">
        <v>125</v>
      </c>
      <c r="C64" t="s">
        <v>126</v>
      </c>
      <c r="D64" t="s">
        <v>127</v>
      </c>
      <c r="E64" t="s">
        <v>128</v>
      </c>
    </row>
    <row r="65" spans="2:5" x14ac:dyDescent="0.3">
      <c r="B65" t="s">
        <v>129</v>
      </c>
      <c r="C65" t="s">
        <v>130</v>
      </c>
      <c r="D65" t="s">
        <v>131</v>
      </c>
    </row>
    <row r="66" spans="2:5" x14ac:dyDescent="0.3">
      <c r="B66" t="s">
        <v>132</v>
      </c>
      <c r="C66" t="s">
        <v>133</v>
      </c>
      <c r="D66" t="s">
        <v>134</v>
      </c>
    </row>
    <row r="69" spans="2:5" x14ac:dyDescent="0.3">
      <c r="B69" t="s">
        <v>135</v>
      </c>
      <c r="C69" t="s">
        <v>136</v>
      </c>
      <c r="D69" t="s">
        <v>137</v>
      </c>
      <c r="E69" t="s">
        <v>138</v>
      </c>
    </row>
    <row r="70" spans="2:5" x14ac:dyDescent="0.3">
      <c r="B70" t="s">
        <v>139</v>
      </c>
      <c r="C70" t="s">
        <v>140</v>
      </c>
      <c r="D70" t="s">
        <v>141</v>
      </c>
      <c r="E70" t="s">
        <v>142</v>
      </c>
    </row>
    <row r="71" spans="2:5" x14ac:dyDescent="0.3">
      <c r="B71" t="s">
        <v>143</v>
      </c>
      <c r="C71" t="s">
        <v>144</v>
      </c>
    </row>
    <row r="72" spans="2:5" x14ac:dyDescent="0.3">
      <c r="B72" t="s">
        <v>145</v>
      </c>
      <c r="C72" t="s">
        <v>146</v>
      </c>
    </row>
    <row r="78" spans="2:5" x14ac:dyDescent="0.3">
      <c r="B78" t="s">
        <v>147</v>
      </c>
      <c r="C78" t="s">
        <v>148</v>
      </c>
      <c r="D78" t="s">
        <v>149</v>
      </c>
      <c r="E78" t="s">
        <v>150</v>
      </c>
    </row>
    <row r="79" spans="2:5" x14ac:dyDescent="0.3">
      <c r="B79" t="s">
        <v>151</v>
      </c>
      <c r="C79" t="s">
        <v>152</v>
      </c>
      <c r="D79" t="s">
        <v>153</v>
      </c>
      <c r="E79" t="s">
        <v>154</v>
      </c>
    </row>
    <row r="80" spans="2:5" x14ac:dyDescent="0.3">
      <c r="B80" t="s">
        <v>155</v>
      </c>
      <c r="C80" t="s">
        <v>156</v>
      </c>
      <c r="D80" t="s">
        <v>157</v>
      </c>
    </row>
    <row r="81" spans="2:7" x14ac:dyDescent="0.3">
      <c r="B81" t="s">
        <v>158</v>
      </c>
      <c r="C81" t="s">
        <v>159</v>
      </c>
      <c r="D81" t="s">
        <v>160</v>
      </c>
    </row>
    <row r="84" spans="2:7" x14ac:dyDescent="0.3">
      <c r="B84" t="s">
        <v>161</v>
      </c>
    </row>
    <row r="85" spans="2:7" x14ac:dyDescent="0.3">
      <c r="B85">
        <v>1</v>
      </c>
    </row>
    <row r="88" spans="2:7" x14ac:dyDescent="0.3">
      <c r="B88" t="s">
        <v>162</v>
      </c>
      <c r="C88" t="s">
        <v>163</v>
      </c>
      <c r="D88" t="s">
        <v>164</v>
      </c>
      <c r="E88" t="s">
        <v>165</v>
      </c>
      <c r="F88" t="s">
        <v>166</v>
      </c>
      <c r="G88" t="s">
        <v>167</v>
      </c>
    </row>
    <row r="89" spans="2:7" x14ac:dyDescent="0.3">
      <c r="B89" t="s">
        <v>168</v>
      </c>
      <c r="C89" t="s">
        <v>169</v>
      </c>
      <c r="D89" t="s">
        <v>170</v>
      </c>
      <c r="E89" t="s">
        <v>171</v>
      </c>
      <c r="F89" t="s">
        <v>172</v>
      </c>
      <c r="G89" t="s">
        <v>173</v>
      </c>
    </row>
    <row r="90" spans="2:7" x14ac:dyDescent="0.3">
      <c r="B90" t="s">
        <v>174</v>
      </c>
      <c r="C90" t="s">
        <v>175</v>
      </c>
      <c r="D90" t="s">
        <v>176</v>
      </c>
    </row>
    <row r="91" spans="2:7" x14ac:dyDescent="0.3">
      <c r="B91" t="s">
        <v>177</v>
      </c>
      <c r="C91" t="s">
        <v>178</v>
      </c>
      <c r="D91" t="s">
        <v>179</v>
      </c>
    </row>
    <row r="94" spans="2:7" x14ac:dyDescent="0.3">
      <c r="B94" t="s">
        <v>180</v>
      </c>
      <c r="C94" t="s">
        <v>181</v>
      </c>
      <c r="D94" t="s">
        <v>182</v>
      </c>
      <c r="E94" t="s">
        <v>183</v>
      </c>
      <c r="F94" t="s">
        <v>184</v>
      </c>
    </row>
    <row r="95" spans="2:7" x14ac:dyDescent="0.3">
      <c r="B95" t="s">
        <v>185</v>
      </c>
      <c r="C95" t="s">
        <v>186</v>
      </c>
      <c r="D95" t="s">
        <v>187</v>
      </c>
      <c r="E95" t="s">
        <v>188</v>
      </c>
      <c r="F95" t="s">
        <v>189</v>
      </c>
    </row>
    <row r="96" spans="2:7" x14ac:dyDescent="0.3">
      <c r="B96" t="s">
        <v>190</v>
      </c>
      <c r="C96" t="s">
        <v>191</v>
      </c>
      <c r="D96" t="s">
        <v>192</v>
      </c>
    </row>
    <row r="97" spans="2:5" x14ac:dyDescent="0.3">
      <c r="B97" t="s">
        <v>193</v>
      </c>
      <c r="C97" t="s">
        <v>194</v>
      </c>
      <c r="D97" t="s">
        <v>195</v>
      </c>
    </row>
    <row r="100" spans="2:5" x14ac:dyDescent="0.3">
      <c r="B100" t="s">
        <v>196</v>
      </c>
      <c r="C100" t="s">
        <v>197</v>
      </c>
      <c r="D100" t="s">
        <v>198</v>
      </c>
      <c r="E100" t="s">
        <v>199</v>
      </c>
    </row>
    <row r="101" spans="2:5" x14ac:dyDescent="0.3">
      <c r="B101" t="s">
        <v>200</v>
      </c>
      <c r="C101" t="s">
        <v>201</v>
      </c>
      <c r="D101" t="s">
        <v>202</v>
      </c>
      <c r="E101" t="s">
        <v>203</v>
      </c>
    </row>
    <row r="104" spans="2:5" x14ac:dyDescent="0.3">
      <c r="B104" t="s">
        <v>204</v>
      </c>
      <c r="C104" t="s">
        <v>205</v>
      </c>
      <c r="D104" t="s">
        <v>206</v>
      </c>
    </row>
    <row r="105" spans="2:5" x14ac:dyDescent="0.3">
      <c r="B105" t="s">
        <v>207</v>
      </c>
      <c r="C105" t="s">
        <v>208</v>
      </c>
      <c r="D105" t="s">
        <v>209</v>
      </c>
    </row>
    <row r="108" spans="2:5" x14ac:dyDescent="0.3">
      <c r="B108" t="s">
        <v>210</v>
      </c>
      <c r="C108" t="s">
        <v>211</v>
      </c>
    </row>
    <row r="109" spans="2:5" x14ac:dyDescent="0.3">
      <c r="B109" t="s">
        <v>212</v>
      </c>
      <c r="C109" t="s">
        <v>212</v>
      </c>
    </row>
    <row r="112" spans="2:5" x14ac:dyDescent="0.3">
      <c r="B112" t="s">
        <v>213</v>
      </c>
      <c r="C112" t="s">
        <v>214</v>
      </c>
      <c r="D112" t="s">
        <v>215</v>
      </c>
      <c r="E112" t="s">
        <v>216</v>
      </c>
    </row>
    <row r="113" spans="2:6" x14ac:dyDescent="0.3">
      <c r="B113" t="s">
        <v>217</v>
      </c>
      <c r="C113" t="s">
        <v>218</v>
      </c>
      <c r="D113" t="s">
        <v>219</v>
      </c>
      <c r="E113" t="s">
        <v>220</v>
      </c>
    </row>
    <row r="116" spans="2:6" x14ac:dyDescent="0.3">
      <c r="B116" t="s">
        <v>221</v>
      </c>
      <c r="C116" t="s">
        <v>222</v>
      </c>
      <c r="D116" t="s">
        <v>223</v>
      </c>
      <c r="E116" t="s">
        <v>224</v>
      </c>
    </row>
    <row r="117" spans="2:6" x14ac:dyDescent="0.3">
      <c r="B117" t="s">
        <v>225</v>
      </c>
      <c r="C117" t="s">
        <v>226</v>
      </c>
      <c r="D117" t="s">
        <v>227</v>
      </c>
      <c r="E117" t="s">
        <v>228</v>
      </c>
    </row>
    <row r="120" spans="2:6" x14ac:dyDescent="0.3">
      <c r="B120" t="s">
        <v>229</v>
      </c>
      <c r="C120" t="s">
        <v>230</v>
      </c>
    </row>
    <row r="121" spans="2:6" x14ac:dyDescent="0.3">
      <c r="B121" t="s">
        <v>231</v>
      </c>
      <c r="C121" t="s">
        <v>232</v>
      </c>
    </row>
    <row r="124" spans="2:6" x14ac:dyDescent="0.3">
      <c r="B124" t="s">
        <v>233</v>
      </c>
      <c r="C124" t="s">
        <v>234</v>
      </c>
      <c r="D124" t="s">
        <v>235</v>
      </c>
      <c r="E124" t="s">
        <v>236</v>
      </c>
      <c r="F124" t="s">
        <v>237</v>
      </c>
    </row>
    <row r="125" spans="2:6" x14ac:dyDescent="0.3">
      <c r="B125" t="s">
        <v>238</v>
      </c>
      <c r="C125" t="s">
        <v>239</v>
      </c>
      <c r="D125" t="s">
        <v>240</v>
      </c>
      <c r="E125" t="s">
        <v>241</v>
      </c>
      <c r="F125" t="s">
        <v>242</v>
      </c>
    </row>
    <row r="126" spans="2:6" x14ac:dyDescent="0.3">
      <c r="B126" t="s">
        <v>243</v>
      </c>
    </row>
    <row r="127" spans="2:6" x14ac:dyDescent="0.3">
      <c r="B127" t="s">
        <v>244</v>
      </c>
    </row>
    <row r="133" spans="2:8" x14ac:dyDescent="0.3">
      <c r="B133" t="s">
        <v>245</v>
      </c>
      <c r="C133" t="s">
        <v>246</v>
      </c>
      <c r="D133" t="s">
        <v>247</v>
      </c>
      <c r="E133" t="s">
        <v>248</v>
      </c>
      <c r="F133" t="s">
        <v>249</v>
      </c>
      <c r="G133" t="s">
        <v>250</v>
      </c>
      <c r="H133" t="s">
        <v>251</v>
      </c>
    </row>
    <row r="134" spans="2:8" x14ac:dyDescent="0.3">
      <c r="B134" t="s">
        <v>252</v>
      </c>
      <c r="C134" t="s">
        <v>253</v>
      </c>
      <c r="D134" t="s">
        <v>254</v>
      </c>
      <c r="E134" t="s">
        <v>255</v>
      </c>
      <c r="F134" t="s">
        <v>256</v>
      </c>
      <c r="G134" t="s">
        <v>257</v>
      </c>
      <c r="H134" t="s">
        <v>258</v>
      </c>
    </row>
    <row r="137" spans="2:8" x14ac:dyDescent="0.3">
      <c r="B137" t="s">
        <v>259</v>
      </c>
      <c r="C137" t="s">
        <v>260</v>
      </c>
      <c r="D137" t="s">
        <v>261</v>
      </c>
      <c r="E137" t="s">
        <v>262</v>
      </c>
      <c r="F137" t="s">
        <v>263</v>
      </c>
    </row>
    <row r="138" spans="2:8" x14ac:dyDescent="0.3">
      <c r="B138" t="s">
        <v>264</v>
      </c>
      <c r="C138" t="s">
        <v>265</v>
      </c>
      <c r="D138" t="s">
        <v>266</v>
      </c>
      <c r="E138" t="s">
        <v>267</v>
      </c>
      <c r="F138" t="s">
        <v>268</v>
      </c>
    </row>
    <row r="139" spans="2:8" x14ac:dyDescent="0.3">
      <c r="B139" t="s">
        <v>269</v>
      </c>
      <c r="C139" t="s">
        <v>270</v>
      </c>
    </row>
    <row r="140" spans="2:8" x14ac:dyDescent="0.3">
      <c r="B140" t="s">
        <v>271</v>
      </c>
      <c r="C140" t="s">
        <v>272</v>
      </c>
    </row>
    <row r="143" spans="2:8" x14ac:dyDescent="0.3">
      <c r="B143" t="s">
        <v>273</v>
      </c>
      <c r="C143" t="s">
        <v>274</v>
      </c>
      <c r="D143" t="s">
        <v>275</v>
      </c>
      <c r="E143" t="s">
        <v>276</v>
      </c>
      <c r="F143" t="s">
        <v>277</v>
      </c>
    </row>
    <row r="144" spans="2:8" x14ac:dyDescent="0.3">
      <c r="B144" t="s">
        <v>278</v>
      </c>
      <c r="C144" t="s">
        <v>279</v>
      </c>
      <c r="D144" t="s">
        <v>280</v>
      </c>
      <c r="E144" t="s">
        <v>281</v>
      </c>
      <c r="F144" t="s">
        <v>282</v>
      </c>
    </row>
    <row r="147" spans="2:7" x14ac:dyDescent="0.3">
      <c r="B147" t="s">
        <v>283</v>
      </c>
      <c r="C147" t="s">
        <v>284</v>
      </c>
    </row>
    <row r="148" spans="2:7" x14ac:dyDescent="0.3">
      <c r="B148" t="s">
        <v>285</v>
      </c>
      <c r="C148" t="s">
        <v>285</v>
      </c>
    </row>
    <row r="151" spans="2:7" x14ac:dyDescent="0.3">
      <c r="B151" t="s">
        <v>286</v>
      </c>
      <c r="C151" t="s">
        <v>287</v>
      </c>
      <c r="D151" t="s">
        <v>288</v>
      </c>
      <c r="E151" t="s">
        <v>289</v>
      </c>
      <c r="F151" t="s">
        <v>290</v>
      </c>
      <c r="G151" t="s">
        <v>291</v>
      </c>
    </row>
    <row r="152" spans="2:7" x14ac:dyDescent="0.3">
      <c r="B152" t="s">
        <v>292</v>
      </c>
      <c r="C152" t="s">
        <v>293</v>
      </c>
      <c r="D152" t="s">
        <v>294</v>
      </c>
      <c r="E152" t="s">
        <v>295</v>
      </c>
      <c r="F152" t="s">
        <v>296</v>
      </c>
      <c r="G152" t="s">
        <v>297</v>
      </c>
    </row>
    <row r="153" spans="2:7" x14ac:dyDescent="0.3">
      <c r="B153" t="s">
        <v>298</v>
      </c>
      <c r="C153" t="s">
        <v>299</v>
      </c>
    </row>
    <row r="154" spans="2:7" x14ac:dyDescent="0.3">
      <c r="B154" t="s">
        <v>300</v>
      </c>
      <c r="C154" t="s">
        <v>301</v>
      </c>
    </row>
    <row r="157" spans="2:7" x14ac:dyDescent="0.3">
      <c r="B157" t="s">
        <v>302</v>
      </c>
      <c r="C157" t="s">
        <v>303</v>
      </c>
      <c r="D157" t="s">
        <v>304</v>
      </c>
    </row>
    <row r="158" spans="2:7" x14ac:dyDescent="0.3">
      <c r="B158" t="s">
        <v>305</v>
      </c>
      <c r="C158" t="s">
        <v>306</v>
      </c>
      <c r="D158" t="s">
        <v>307</v>
      </c>
    </row>
    <row r="161" spans="2:5" x14ac:dyDescent="0.3">
      <c r="B161" t="s">
        <v>308</v>
      </c>
      <c r="C161" t="s">
        <v>309</v>
      </c>
      <c r="D161" t="s">
        <v>310</v>
      </c>
    </row>
    <row r="162" spans="2:5" x14ac:dyDescent="0.3">
      <c r="B162" t="s">
        <v>311</v>
      </c>
      <c r="C162" t="s">
        <v>312</v>
      </c>
      <c r="D162" t="s">
        <v>313</v>
      </c>
    </row>
    <row r="168" spans="2:5" x14ac:dyDescent="0.3">
      <c r="B168" t="s">
        <v>314</v>
      </c>
      <c r="C168" t="s">
        <v>315</v>
      </c>
      <c r="D168" t="s">
        <v>316</v>
      </c>
      <c r="E168" t="s">
        <v>317</v>
      </c>
    </row>
    <row r="169" spans="2:5" x14ac:dyDescent="0.3">
      <c r="B169" t="s">
        <v>318</v>
      </c>
      <c r="C169" t="s">
        <v>319</v>
      </c>
      <c r="D169" t="s">
        <v>320</v>
      </c>
      <c r="E169" t="s">
        <v>321</v>
      </c>
    </row>
  </sheetData>
  <mergeCells count="2">
    <mergeCell ref="A1:A2"/>
    <mergeCell ref="A3:A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C1" workbookViewId="0">
      <selection sqref="A1:K73"/>
    </sheetView>
  </sheetViews>
  <sheetFormatPr baseColWidth="10" defaultRowHeight="14.4" x14ac:dyDescent="0.3"/>
  <cols>
    <col min="1" max="1" width="11.5546875" style="1"/>
    <col min="2" max="2" width="21" bestFit="1" customWidth="1"/>
    <col min="3" max="3" width="21.77734375" bestFit="1" customWidth="1"/>
    <col min="4" max="4" width="23.77734375" bestFit="1" customWidth="1"/>
    <col min="5" max="5" width="22.21875" bestFit="1" customWidth="1"/>
    <col min="6" max="6" width="24.44140625" bestFit="1" customWidth="1"/>
    <col min="7" max="7" width="23.77734375" bestFit="1" customWidth="1"/>
    <col min="8" max="8" width="24.33203125" bestFit="1" customWidth="1"/>
  </cols>
  <sheetData>
    <row r="1" spans="1:8" x14ac:dyDescent="0.3">
      <c r="A1" s="19" t="s">
        <v>325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/>
      <c r="H1" s="2"/>
    </row>
    <row r="2" spans="1:8" x14ac:dyDescent="0.3">
      <c r="A2" s="20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</row>
    <row r="3" spans="1:8" x14ac:dyDescent="0.3">
      <c r="A3" s="18" t="s">
        <v>326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3">
      <c r="A4" s="18" t="s">
        <v>326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3">
      <c r="A5" s="19" t="s">
        <v>360</v>
      </c>
      <c r="B5" s="2" t="s">
        <v>24</v>
      </c>
      <c r="C5" s="2" t="s">
        <v>25</v>
      </c>
      <c r="D5" s="2"/>
      <c r="E5" s="2"/>
      <c r="F5" s="2"/>
      <c r="G5" s="2"/>
      <c r="H5" s="2"/>
    </row>
    <row r="6" spans="1:8" x14ac:dyDescent="0.3">
      <c r="A6" s="20" t="s">
        <v>326</v>
      </c>
      <c r="B6" s="3" t="s">
        <v>26</v>
      </c>
      <c r="C6" s="3" t="s">
        <v>26</v>
      </c>
      <c r="D6" s="3"/>
      <c r="E6" s="3"/>
      <c r="F6" s="3"/>
      <c r="G6" s="3"/>
      <c r="H6" s="3"/>
    </row>
    <row r="7" spans="1:8" x14ac:dyDescent="0.3">
      <c r="A7" s="18" t="s">
        <v>327</v>
      </c>
      <c r="B7" t="s">
        <v>27</v>
      </c>
      <c r="C7" t="s">
        <v>28</v>
      </c>
      <c r="D7" t="s">
        <v>29</v>
      </c>
      <c r="E7" t="s">
        <v>30</v>
      </c>
      <c r="F7" t="s">
        <v>35</v>
      </c>
      <c r="G7" t="s">
        <v>36</v>
      </c>
    </row>
    <row r="8" spans="1:8" x14ac:dyDescent="0.3">
      <c r="A8" s="18"/>
      <c r="B8" t="s">
        <v>31</v>
      </c>
      <c r="C8" t="s">
        <v>32</v>
      </c>
      <c r="D8" t="s">
        <v>33</v>
      </c>
      <c r="E8" t="s">
        <v>34</v>
      </c>
      <c r="F8" t="s">
        <v>37</v>
      </c>
      <c r="G8" t="s">
        <v>38</v>
      </c>
    </row>
    <row r="9" spans="1:8" x14ac:dyDescent="0.3">
      <c r="A9" s="19" t="s">
        <v>328</v>
      </c>
      <c r="B9" s="2" t="s">
        <v>39</v>
      </c>
      <c r="C9" s="2" t="s">
        <v>40</v>
      </c>
      <c r="D9" s="2" t="s">
        <v>41</v>
      </c>
      <c r="E9" s="2" t="s">
        <v>42</v>
      </c>
      <c r="F9" s="2"/>
      <c r="G9" s="2"/>
      <c r="H9" s="2"/>
    </row>
    <row r="10" spans="1:8" x14ac:dyDescent="0.3">
      <c r="A10" s="20"/>
      <c r="B10" s="3" t="s">
        <v>43</v>
      </c>
      <c r="C10" s="3" t="s">
        <v>44</v>
      </c>
      <c r="D10" s="3" t="s">
        <v>45</v>
      </c>
      <c r="E10" s="3" t="s">
        <v>46</v>
      </c>
      <c r="F10" s="3"/>
      <c r="G10" s="3"/>
      <c r="H10" s="3"/>
    </row>
    <row r="11" spans="1:8" x14ac:dyDescent="0.3">
      <c r="A11" s="18" t="s">
        <v>329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</row>
    <row r="12" spans="1:8" x14ac:dyDescent="0.3">
      <c r="A12" s="18"/>
      <c r="B12" t="s">
        <v>52</v>
      </c>
      <c r="C12" t="s">
        <v>53</v>
      </c>
      <c r="D12" t="s">
        <v>54</v>
      </c>
      <c r="E12" t="s">
        <v>55</v>
      </c>
      <c r="F12" t="s">
        <v>56</v>
      </c>
    </row>
    <row r="13" spans="1:8" x14ac:dyDescent="0.3">
      <c r="A13" s="19" t="s">
        <v>330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65</v>
      </c>
      <c r="G13" s="2"/>
      <c r="H13" s="2"/>
    </row>
    <row r="14" spans="1:8" x14ac:dyDescent="0.3">
      <c r="A14" s="20"/>
      <c r="B14" s="3" t="s">
        <v>61</v>
      </c>
      <c r="C14" s="3" t="s">
        <v>62</v>
      </c>
      <c r="D14" s="3" t="s">
        <v>63</v>
      </c>
      <c r="E14" s="3" t="s">
        <v>64</v>
      </c>
      <c r="F14" s="3" t="s">
        <v>66</v>
      </c>
      <c r="G14" s="3"/>
      <c r="H14" s="3"/>
    </row>
    <row r="15" spans="1:8" x14ac:dyDescent="0.3">
      <c r="A15" s="18" t="s">
        <v>331</v>
      </c>
      <c r="B15" t="s">
        <v>67</v>
      </c>
      <c r="C15" t="s">
        <v>68</v>
      </c>
      <c r="D15" t="s">
        <v>69</v>
      </c>
      <c r="E15" t="s">
        <v>70</v>
      </c>
      <c r="F15" t="s">
        <v>75</v>
      </c>
    </row>
    <row r="16" spans="1:8" x14ac:dyDescent="0.3">
      <c r="A16" s="18"/>
      <c r="B16" t="s">
        <v>71</v>
      </c>
      <c r="C16" t="s">
        <v>72</v>
      </c>
      <c r="D16" t="s">
        <v>73</v>
      </c>
      <c r="E16" t="s">
        <v>74</v>
      </c>
      <c r="F16" t="s">
        <v>76</v>
      </c>
    </row>
    <row r="17" spans="1:8" x14ac:dyDescent="0.3">
      <c r="A17" s="19" t="s">
        <v>332</v>
      </c>
      <c r="B17" s="2" t="s">
        <v>77</v>
      </c>
      <c r="C17" s="2" t="s">
        <v>78</v>
      </c>
      <c r="D17" s="2" t="s">
        <v>79</v>
      </c>
      <c r="E17" s="2" t="s">
        <v>80</v>
      </c>
      <c r="F17" s="2"/>
      <c r="G17" s="2"/>
      <c r="H17" s="2"/>
    </row>
    <row r="18" spans="1:8" x14ac:dyDescent="0.3">
      <c r="A18" s="20"/>
      <c r="B18" s="3" t="s">
        <v>81</v>
      </c>
      <c r="C18" s="3" t="s">
        <v>82</v>
      </c>
      <c r="D18" s="3" t="s">
        <v>83</v>
      </c>
      <c r="E18" s="3" t="s">
        <v>84</v>
      </c>
      <c r="F18" s="3"/>
      <c r="G18" s="3"/>
      <c r="H18" s="3"/>
    </row>
    <row r="19" spans="1:8" x14ac:dyDescent="0.3">
      <c r="A19" s="19" t="s">
        <v>333</v>
      </c>
      <c r="B19" s="2" t="s">
        <v>85</v>
      </c>
      <c r="C19" s="2" t="s">
        <v>86</v>
      </c>
      <c r="D19" s="2" t="s">
        <v>87</v>
      </c>
      <c r="E19" s="2" t="s">
        <v>88</v>
      </c>
      <c r="F19" s="2"/>
      <c r="G19" s="2"/>
      <c r="H19" s="2"/>
    </row>
    <row r="20" spans="1:8" x14ac:dyDescent="0.3">
      <c r="A20" s="20"/>
      <c r="B20" s="3" t="s">
        <v>89</v>
      </c>
      <c r="C20" s="3" t="s">
        <v>90</v>
      </c>
      <c r="D20" s="3" t="s">
        <v>91</v>
      </c>
      <c r="E20" s="3" t="s">
        <v>92</v>
      </c>
      <c r="F20" s="3"/>
      <c r="G20" s="3"/>
      <c r="H20" s="3"/>
    </row>
    <row r="21" spans="1:8" x14ac:dyDescent="0.3">
      <c r="A21" s="18" t="s">
        <v>334</v>
      </c>
      <c r="B21" t="s">
        <v>93</v>
      </c>
      <c r="C21" t="s">
        <v>94</v>
      </c>
      <c r="D21" t="s">
        <v>95</v>
      </c>
      <c r="E21" t="s">
        <v>96</v>
      </c>
    </row>
    <row r="22" spans="1:8" x14ac:dyDescent="0.3">
      <c r="A22" s="18"/>
      <c r="B22" t="s">
        <v>97</v>
      </c>
      <c r="C22" t="s">
        <v>98</v>
      </c>
      <c r="D22" t="s">
        <v>99</v>
      </c>
      <c r="E22" t="s">
        <v>100</v>
      </c>
    </row>
    <row r="23" spans="1:8" x14ac:dyDescent="0.3">
      <c r="A23" s="19" t="s">
        <v>335</v>
      </c>
      <c r="B23" s="2" t="s">
        <v>101</v>
      </c>
      <c r="C23" s="2" t="s">
        <v>102</v>
      </c>
      <c r="D23" s="2" t="s">
        <v>103</v>
      </c>
      <c r="E23" s="2"/>
      <c r="F23" s="2"/>
      <c r="G23" s="2"/>
      <c r="H23" s="2"/>
    </row>
    <row r="24" spans="1:8" x14ac:dyDescent="0.3">
      <c r="A24" s="20"/>
      <c r="B24" s="3" t="s">
        <v>104</v>
      </c>
      <c r="C24" s="3" t="s">
        <v>105</v>
      </c>
      <c r="D24" s="3" t="s">
        <v>106</v>
      </c>
      <c r="E24" s="3"/>
      <c r="F24" s="3"/>
      <c r="G24" s="3"/>
      <c r="H24" s="3"/>
    </row>
    <row r="25" spans="1:8" x14ac:dyDescent="0.3">
      <c r="A25" s="18" t="s">
        <v>336</v>
      </c>
      <c r="B25" t="s">
        <v>107</v>
      </c>
      <c r="C25" t="s">
        <v>108</v>
      </c>
    </row>
    <row r="26" spans="1:8" x14ac:dyDescent="0.3">
      <c r="A26" s="18"/>
      <c r="B26" t="s">
        <v>109</v>
      </c>
      <c r="C26" t="s">
        <v>109</v>
      </c>
    </row>
    <row r="27" spans="1:8" x14ac:dyDescent="0.3">
      <c r="A27" s="19" t="s">
        <v>337</v>
      </c>
      <c r="B27" s="2" t="s">
        <v>110</v>
      </c>
      <c r="C27" s="2" t="s">
        <v>111</v>
      </c>
      <c r="D27" s="2"/>
      <c r="E27" s="2"/>
      <c r="F27" s="2"/>
      <c r="G27" s="2"/>
      <c r="H27" s="2"/>
    </row>
    <row r="28" spans="1:8" x14ac:dyDescent="0.3">
      <c r="A28" s="20"/>
      <c r="B28" s="3" t="s">
        <v>112</v>
      </c>
      <c r="C28" s="3" t="s">
        <v>112</v>
      </c>
      <c r="D28" s="3"/>
      <c r="E28" s="3"/>
      <c r="F28" s="3"/>
      <c r="G28" s="3"/>
      <c r="H28" s="3"/>
    </row>
    <row r="29" spans="1:8" x14ac:dyDescent="0.3">
      <c r="A29" s="18" t="s">
        <v>338</v>
      </c>
      <c r="B29" t="s">
        <v>113</v>
      </c>
      <c r="C29" t="s">
        <v>114</v>
      </c>
      <c r="D29" t="s">
        <v>115</v>
      </c>
      <c r="E29" t="s">
        <v>116</v>
      </c>
    </row>
    <row r="30" spans="1:8" x14ac:dyDescent="0.3">
      <c r="A30" s="18"/>
      <c r="B30" t="s">
        <v>117</v>
      </c>
      <c r="C30" t="s">
        <v>118</v>
      </c>
      <c r="D30" t="s">
        <v>119</v>
      </c>
      <c r="E30" t="s">
        <v>120</v>
      </c>
    </row>
    <row r="31" spans="1:8" x14ac:dyDescent="0.3">
      <c r="A31" s="19" t="s">
        <v>339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s">
        <v>129</v>
      </c>
      <c r="G31" s="2" t="s">
        <v>130</v>
      </c>
      <c r="H31" s="2" t="s">
        <v>131</v>
      </c>
    </row>
    <row r="32" spans="1:8" x14ac:dyDescent="0.3">
      <c r="A32" s="20"/>
      <c r="B32" s="3" t="s">
        <v>125</v>
      </c>
      <c r="C32" s="3" t="s">
        <v>126</v>
      </c>
      <c r="D32" s="3" t="s">
        <v>127</v>
      </c>
      <c r="E32" s="3" t="s">
        <v>128</v>
      </c>
      <c r="F32" s="3" t="s">
        <v>132</v>
      </c>
      <c r="G32" s="3" t="s">
        <v>133</v>
      </c>
      <c r="H32" s="3" t="s">
        <v>134</v>
      </c>
    </row>
    <row r="33" spans="1:11" x14ac:dyDescent="0.3">
      <c r="A33" s="18" t="s">
        <v>340</v>
      </c>
      <c r="B33" t="s">
        <v>135</v>
      </c>
      <c r="C33" t="s">
        <v>136</v>
      </c>
      <c r="D33" t="s">
        <v>137</v>
      </c>
      <c r="E33" t="s">
        <v>138</v>
      </c>
      <c r="F33" t="s">
        <v>143</v>
      </c>
      <c r="G33" t="s">
        <v>144</v>
      </c>
    </row>
    <row r="34" spans="1:11" x14ac:dyDescent="0.3">
      <c r="A34" s="18"/>
      <c r="B34" t="s">
        <v>139</v>
      </c>
      <c r="C34" t="s">
        <v>140</v>
      </c>
      <c r="D34" t="s">
        <v>141</v>
      </c>
      <c r="E34" t="s">
        <v>142</v>
      </c>
      <c r="F34" t="s">
        <v>145</v>
      </c>
      <c r="G34" t="s">
        <v>146</v>
      </c>
    </row>
    <row r="35" spans="1:11" x14ac:dyDescent="0.3">
      <c r="A35" s="19" t="s">
        <v>341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s">
        <v>155</v>
      </c>
      <c r="G35" s="2" t="s">
        <v>156</v>
      </c>
      <c r="H35" s="2" t="s">
        <v>157</v>
      </c>
      <c r="I35" s="2"/>
    </row>
    <row r="36" spans="1:11" x14ac:dyDescent="0.3">
      <c r="A36" s="20"/>
      <c r="B36" s="3" t="s">
        <v>151</v>
      </c>
      <c r="C36" s="3" t="s">
        <v>152</v>
      </c>
      <c r="D36" s="3" t="s">
        <v>153</v>
      </c>
      <c r="E36" s="3" t="s">
        <v>154</v>
      </c>
      <c r="F36" s="3" t="s">
        <v>158</v>
      </c>
      <c r="G36" s="3" t="s">
        <v>159</v>
      </c>
      <c r="H36" s="3" t="s">
        <v>160</v>
      </c>
      <c r="I36" s="3"/>
    </row>
    <row r="37" spans="1:11" x14ac:dyDescent="0.3">
      <c r="A37" s="18" t="s">
        <v>342</v>
      </c>
      <c r="B37" t="s">
        <v>161</v>
      </c>
    </row>
    <row r="38" spans="1:11" x14ac:dyDescent="0.3">
      <c r="A38" s="18"/>
      <c r="B38">
        <v>1</v>
      </c>
    </row>
    <row r="39" spans="1:11" x14ac:dyDescent="0.3">
      <c r="A39" s="19" t="s">
        <v>343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s">
        <v>166</v>
      </c>
      <c r="G39" s="2" t="s">
        <v>167</v>
      </c>
      <c r="H39" s="2" t="s">
        <v>174</v>
      </c>
      <c r="I39" s="2" t="s">
        <v>175</v>
      </c>
      <c r="J39" s="2" t="s">
        <v>176</v>
      </c>
    </row>
    <row r="40" spans="1:11" x14ac:dyDescent="0.3">
      <c r="A40" s="20"/>
      <c r="B40" s="3" t="s">
        <v>168</v>
      </c>
      <c r="C40" s="3" t="s">
        <v>169</v>
      </c>
      <c r="D40" s="3" t="s">
        <v>170</v>
      </c>
      <c r="E40" s="3" t="s">
        <v>171</v>
      </c>
      <c r="F40" s="3" t="s">
        <v>172</v>
      </c>
      <c r="G40" s="3" t="s">
        <v>173</v>
      </c>
      <c r="H40" s="3" t="s">
        <v>177</v>
      </c>
      <c r="I40" s="3" t="s">
        <v>178</v>
      </c>
      <c r="J40" s="3" t="s">
        <v>179</v>
      </c>
    </row>
    <row r="41" spans="1:11" x14ac:dyDescent="0.3">
      <c r="A41" s="18" t="s">
        <v>344</v>
      </c>
      <c r="B41" t="s">
        <v>180</v>
      </c>
      <c r="C41" t="s">
        <v>181</v>
      </c>
      <c r="D41" t="s">
        <v>182</v>
      </c>
      <c r="E41" t="s">
        <v>183</v>
      </c>
      <c r="F41" t="s">
        <v>184</v>
      </c>
      <c r="G41" t="s">
        <v>190</v>
      </c>
      <c r="H41" t="s">
        <v>191</v>
      </c>
      <c r="I41" t="s">
        <v>192</v>
      </c>
    </row>
    <row r="42" spans="1:11" x14ac:dyDescent="0.3">
      <c r="A42" s="18"/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193</v>
      </c>
      <c r="H42" t="s">
        <v>194</v>
      </c>
      <c r="I42" t="s">
        <v>195</v>
      </c>
    </row>
    <row r="43" spans="1:11" x14ac:dyDescent="0.3">
      <c r="A43" s="19" t="s">
        <v>345</v>
      </c>
      <c r="B43" s="2" t="s">
        <v>196</v>
      </c>
      <c r="C43" s="2" t="s">
        <v>197</v>
      </c>
      <c r="D43" s="2" t="s">
        <v>198</v>
      </c>
      <c r="E43" s="2" t="s">
        <v>199</v>
      </c>
      <c r="F43" s="2"/>
      <c r="G43" s="2"/>
      <c r="H43" s="2"/>
      <c r="I43" s="2"/>
      <c r="J43" s="2"/>
      <c r="K43" s="2"/>
    </row>
    <row r="44" spans="1:11" x14ac:dyDescent="0.3">
      <c r="A44" s="20"/>
      <c r="B44" s="3" t="s">
        <v>200</v>
      </c>
      <c r="C44" s="3" t="s">
        <v>201</v>
      </c>
      <c r="D44" s="3" t="s">
        <v>202</v>
      </c>
      <c r="E44" s="3" t="s">
        <v>203</v>
      </c>
      <c r="F44" s="3"/>
      <c r="G44" s="3"/>
      <c r="H44" s="3"/>
      <c r="I44" s="3"/>
      <c r="J44" s="3"/>
      <c r="K44" s="3"/>
    </row>
    <row r="45" spans="1:11" x14ac:dyDescent="0.3">
      <c r="A45" s="18" t="s">
        <v>346</v>
      </c>
      <c r="B45" t="s">
        <v>204</v>
      </c>
      <c r="C45" t="s">
        <v>205</v>
      </c>
      <c r="D45" t="s">
        <v>206</v>
      </c>
    </row>
    <row r="46" spans="1:11" x14ac:dyDescent="0.3">
      <c r="A46" s="18"/>
      <c r="B46" t="s">
        <v>207</v>
      </c>
      <c r="C46" t="s">
        <v>208</v>
      </c>
      <c r="D46" t="s">
        <v>209</v>
      </c>
    </row>
    <row r="47" spans="1:11" x14ac:dyDescent="0.3">
      <c r="A47" s="19" t="s">
        <v>347</v>
      </c>
      <c r="B47" s="2" t="s">
        <v>210</v>
      </c>
      <c r="C47" s="2" t="s">
        <v>211</v>
      </c>
      <c r="D47" s="2"/>
      <c r="E47" s="2"/>
      <c r="F47" s="2"/>
    </row>
    <row r="48" spans="1:11" x14ac:dyDescent="0.3">
      <c r="A48" s="20"/>
      <c r="B48" s="3" t="s">
        <v>212</v>
      </c>
      <c r="C48" s="3" t="s">
        <v>212</v>
      </c>
      <c r="D48" s="3"/>
      <c r="E48" s="3"/>
      <c r="F48" s="3"/>
    </row>
    <row r="49" spans="1:8" x14ac:dyDescent="0.3">
      <c r="A49" s="18" t="s">
        <v>348</v>
      </c>
      <c r="B49" t="s">
        <v>213</v>
      </c>
      <c r="C49" t="s">
        <v>214</v>
      </c>
      <c r="D49" t="s">
        <v>215</v>
      </c>
      <c r="E49" t="s">
        <v>216</v>
      </c>
    </row>
    <row r="50" spans="1:8" x14ac:dyDescent="0.3">
      <c r="A50" s="18"/>
      <c r="B50" t="s">
        <v>217</v>
      </c>
      <c r="C50" t="s">
        <v>218</v>
      </c>
      <c r="D50" t="s">
        <v>219</v>
      </c>
      <c r="E50" t="s">
        <v>220</v>
      </c>
    </row>
    <row r="51" spans="1:8" x14ac:dyDescent="0.3">
      <c r="A51" s="19" t="s">
        <v>349</v>
      </c>
      <c r="B51" s="2" t="s">
        <v>221</v>
      </c>
      <c r="C51" s="2" t="s">
        <v>222</v>
      </c>
      <c r="D51" s="2" t="s">
        <v>223</v>
      </c>
      <c r="E51" s="2" t="s">
        <v>224</v>
      </c>
      <c r="F51" s="2"/>
    </row>
    <row r="52" spans="1:8" x14ac:dyDescent="0.3">
      <c r="A52" s="20"/>
      <c r="B52" s="3" t="s">
        <v>225</v>
      </c>
      <c r="C52" s="3" t="s">
        <v>226</v>
      </c>
      <c r="D52" s="3" t="s">
        <v>227</v>
      </c>
      <c r="E52" s="3" t="s">
        <v>228</v>
      </c>
      <c r="F52" s="3"/>
    </row>
    <row r="53" spans="1:8" x14ac:dyDescent="0.3">
      <c r="A53" s="18" t="s">
        <v>350</v>
      </c>
      <c r="B53" t="s">
        <v>229</v>
      </c>
      <c r="C53" t="s">
        <v>230</v>
      </c>
    </row>
    <row r="54" spans="1:8" x14ac:dyDescent="0.3">
      <c r="A54" s="18"/>
      <c r="B54" t="s">
        <v>231</v>
      </c>
      <c r="C54" t="s">
        <v>232</v>
      </c>
    </row>
    <row r="55" spans="1:8" x14ac:dyDescent="0.3">
      <c r="A55" s="19" t="s">
        <v>351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s">
        <v>237</v>
      </c>
      <c r="G55" s="2" t="s">
        <v>243</v>
      </c>
      <c r="H55" s="2"/>
    </row>
    <row r="56" spans="1:8" x14ac:dyDescent="0.3">
      <c r="A56" s="20"/>
      <c r="B56" s="3" t="s">
        <v>238</v>
      </c>
      <c r="C56" s="3" t="s">
        <v>239</v>
      </c>
      <c r="D56" s="3" t="s">
        <v>240</v>
      </c>
      <c r="E56" s="3" t="s">
        <v>241</v>
      </c>
      <c r="F56" s="3" t="s">
        <v>242</v>
      </c>
      <c r="G56" s="3" t="s">
        <v>244</v>
      </c>
      <c r="H56" s="3"/>
    </row>
    <row r="57" spans="1:8" x14ac:dyDescent="0.3">
      <c r="A57" s="18" t="s">
        <v>352</v>
      </c>
      <c r="B57" t="s">
        <v>245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  <c r="H57" t="s">
        <v>251</v>
      </c>
    </row>
    <row r="58" spans="1:8" x14ac:dyDescent="0.3">
      <c r="A58" s="18"/>
      <c r="B58" t="s">
        <v>252</v>
      </c>
      <c r="C58" t="s">
        <v>253</v>
      </c>
      <c r="D58" t="s">
        <v>254</v>
      </c>
      <c r="E58" t="s">
        <v>255</v>
      </c>
      <c r="F58" t="s">
        <v>256</v>
      </c>
      <c r="G58" t="s">
        <v>257</v>
      </c>
      <c r="H58" t="s">
        <v>258</v>
      </c>
    </row>
    <row r="59" spans="1:8" x14ac:dyDescent="0.3">
      <c r="A59" s="19" t="s">
        <v>353</v>
      </c>
      <c r="B59" s="2" t="s">
        <v>259</v>
      </c>
      <c r="C59" s="2" t="s">
        <v>260</v>
      </c>
      <c r="D59" s="2" t="s">
        <v>261</v>
      </c>
      <c r="E59" s="2" t="s">
        <v>262</v>
      </c>
      <c r="F59" s="2" t="s">
        <v>263</v>
      </c>
      <c r="G59" s="2" t="s">
        <v>269</v>
      </c>
      <c r="H59" s="2" t="s">
        <v>270</v>
      </c>
    </row>
    <row r="60" spans="1:8" x14ac:dyDescent="0.3">
      <c r="A60" s="20"/>
      <c r="B60" s="3" t="s">
        <v>264</v>
      </c>
      <c r="C60" s="3" t="s">
        <v>265</v>
      </c>
      <c r="D60" s="3" t="s">
        <v>266</v>
      </c>
      <c r="E60" s="3" t="s">
        <v>267</v>
      </c>
      <c r="F60" s="3" t="s">
        <v>268</v>
      </c>
      <c r="G60" s="3" t="s">
        <v>271</v>
      </c>
      <c r="H60" s="3" t="s">
        <v>272</v>
      </c>
    </row>
    <row r="61" spans="1:8" x14ac:dyDescent="0.3">
      <c r="A61" s="18" t="s">
        <v>354</v>
      </c>
      <c r="B61" t="s">
        <v>273</v>
      </c>
      <c r="C61" t="s">
        <v>274</v>
      </c>
      <c r="D61" t="s">
        <v>275</v>
      </c>
      <c r="E61" t="s">
        <v>276</v>
      </c>
      <c r="F61" t="s">
        <v>277</v>
      </c>
    </row>
    <row r="62" spans="1:8" x14ac:dyDescent="0.3">
      <c r="A62" s="18"/>
      <c r="B62" t="s">
        <v>278</v>
      </c>
      <c r="C62" t="s">
        <v>279</v>
      </c>
      <c r="D62" t="s">
        <v>280</v>
      </c>
      <c r="E62" t="s">
        <v>281</v>
      </c>
      <c r="F62" t="s">
        <v>282</v>
      </c>
    </row>
    <row r="63" spans="1:8" x14ac:dyDescent="0.3">
      <c r="A63" s="19" t="s">
        <v>355</v>
      </c>
      <c r="B63" s="2" t="s">
        <v>283</v>
      </c>
      <c r="C63" s="2" t="s">
        <v>284</v>
      </c>
      <c r="D63" s="2"/>
      <c r="E63" s="2"/>
      <c r="F63" s="2"/>
      <c r="G63" s="2"/>
      <c r="H63" s="2"/>
    </row>
    <row r="64" spans="1:8" x14ac:dyDescent="0.3">
      <c r="A64" s="20"/>
      <c r="B64" s="3" t="s">
        <v>285</v>
      </c>
      <c r="C64" s="3" t="s">
        <v>285</v>
      </c>
      <c r="D64" s="3"/>
      <c r="E64" s="3"/>
      <c r="F64" s="3"/>
      <c r="G64" s="3"/>
      <c r="H64" s="3"/>
    </row>
    <row r="65" spans="1:9" x14ac:dyDescent="0.3">
      <c r="A65" s="18" t="s">
        <v>356</v>
      </c>
      <c r="B65" t="s">
        <v>286</v>
      </c>
      <c r="C65" t="s">
        <v>287</v>
      </c>
      <c r="D65" t="s">
        <v>288</v>
      </c>
      <c r="E65" t="s">
        <v>289</v>
      </c>
      <c r="F65" t="s">
        <v>290</v>
      </c>
      <c r="G65" t="s">
        <v>291</v>
      </c>
      <c r="H65" t="s">
        <v>298</v>
      </c>
      <c r="I65" t="s">
        <v>299</v>
      </c>
    </row>
    <row r="66" spans="1:9" x14ac:dyDescent="0.3">
      <c r="A66" s="18"/>
      <c r="B66" t="s">
        <v>292</v>
      </c>
      <c r="C66" t="s">
        <v>293</v>
      </c>
      <c r="D66" t="s">
        <v>294</v>
      </c>
      <c r="E66" t="s">
        <v>295</v>
      </c>
      <c r="F66" t="s">
        <v>296</v>
      </c>
      <c r="G66" t="s">
        <v>297</v>
      </c>
      <c r="H66" t="s">
        <v>300</v>
      </c>
      <c r="I66" t="s">
        <v>301</v>
      </c>
    </row>
    <row r="67" spans="1:9" x14ac:dyDescent="0.3">
      <c r="A67" s="19" t="s">
        <v>357</v>
      </c>
      <c r="B67" s="2" t="s">
        <v>302</v>
      </c>
      <c r="C67" s="2" t="s">
        <v>303</v>
      </c>
      <c r="D67" s="2" t="s">
        <v>304</v>
      </c>
      <c r="E67" s="2"/>
      <c r="F67" s="2"/>
      <c r="G67" s="2"/>
      <c r="H67" s="2"/>
      <c r="I67" s="2"/>
    </row>
    <row r="68" spans="1:9" x14ac:dyDescent="0.3">
      <c r="A68" s="20"/>
      <c r="B68" s="3" t="s">
        <v>305</v>
      </c>
      <c r="C68" s="3" t="s">
        <v>306</v>
      </c>
      <c r="D68" s="3" t="s">
        <v>307</v>
      </c>
      <c r="E68" s="3"/>
      <c r="F68" s="3"/>
      <c r="G68" s="3"/>
      <c r="H68" s="3"/>
      <c r="I68" s="3"/>
    </row>
    <row r="69" spans="1:9" x14ac:dyDescent="0.3">
      <c r="C69" t="s">
        <v>358</v>
      </c>
    </row>
    <row r="70" spans="1:9" x14ac:dyDescent="0.3">
      <c r="A70" s="19" t="s">
        <v>358</v>
      </c>
      <c r="B70" s="2" t="s">
        <v>308</v>
      </c>
      <c r="C70" s="2" t="s">
        <v>309</v>
      </c>
      <c r="D70" s="2" t="s">
        <v>310</v>
      </c>
      <c r="E70" s="2"/>
    </row>
    <row r="71" spans="1:9" x14ac:dyDescent="0.3">
      <c r="A71" s="20"/>
      <c r="B71" s="3" t="s">
        <v>311</v>
      </c>
      <c r="C71" s="3" t="s">
        <v>312</v>
      </c>
      <c r="D71" s="3" t="s">
        <v>313</v>
      </c>
      <c r="E71" s="3"/>
    </row>
    <row r="72" spans="1:9" x14ac:dyDescent="0.3">
      <c r="A72" s="19" t="s">
        <v>359</v>
      </c>
      <c r="B72" s="2" t="s">
        <v>314</v>
      </c>
      <c r="C72" s="2" t="s">
        <v>315</v>
      </c>
      <c r="D72" s="2" t="s">
        <v>316</v>
      </c>
      <c r="E72" s="2" t="s">
        <v>317</v>
      </c>
    </row>
    <row r="73" spans="1:9" x14ac:dyDescent="0.3">
      <c r="A73" s="20"/>
      <c r="B73" s="3" t="s">
        <v>318</v>
      </c>
      <c r="C73" s="3" t="s">
        <v>319</v>
      </c>
      <c r="D73" s="3" t="s">
        <v>320</v>
      </c>
      <c r="E73" s="3" t="s">
        <v>321</v>
      </c>
    </row>
  </sheetData>
  <mergeCells count="36">
    <mergeCell ref="A35:A36"/>
    <mergeCell ref="A19:A20"/>
    <mergeCell ref="A17:A18"/>
    <mergeCell ref="A31:A32"/>
    <mergeCell ref="A29:A30"/>
    <mergeCell ref="A27:A28"/>
    <mergeCell ref="A25:A26"/>
    <mergeCell ref="A23:A24"/>
    <mergeCell ref="A21:A22"/>
    <mergeCell ref="A45:A46"/>
    <mergeCell ref="A43:A44"/>
    <mergeCell ref="A41:A42"/>
    <mergeCell ref="A39:A40"/>
    <mergeCell ref="A37:A38"/>
    <mergeCell ref="A13:A14"/>
    <mergeCell ref="A15:A16"/>
    <mergeCell ref="A72:A73"/>
    <mergeCell ref="A70:A71"/>
    <mergeCell ref="A67:A68"/>
    <mergeCell ref="A65:A66"/>
    <mergeCell ref="A63:A64"/>
    <mergeCell ref="A61:A62"/>
    <mergeCell ref="A59:A60"/>
    <mergeCell ref="A57:A58"/>
    <mergeCell ref="A33:A34"/>
    <mergeCell ref="A55:A56"/>
    <mergeCell ref="A53:A54"/>
    <mergeCell ref="A51:A52"/>
    <mergeCell ref="A49:A50"/>
    <mergeCell ref="A47:A48"/>
    <mergeCell ref="A11:A12"/>
    <mergeCell ref="A1:A2"/>
    <mergeCell ref="A3:A4"/>
    <mergeCell ref="A5:A6"/>
    <mergeCell ref="A7:A8"/>
    <mergeCell ref="A9:A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B31" workbookViewId="0">
      <selection activeCell="K49" sqref="K48:K49"/>
    </sheetView>
  </sheetViews>
  <sheetFormatPr baseColWidth="10" defaultRowHeight="14.4" x14ac:dyDescent="0.3"/>
  <cols>
    <col min="1" max="1" width="21.88671875" style="1" bestFit="1" customWidth="1"/>
    <col min="2" max="2" width="9.5546875" style="6" bestFit="1" customWidth="1"/>
    <col min="3" max="3" width="23.6640625" style="1" bestFit="1" customWidth="1"/>
    <col min="4" max="4" width="9.5546875" style="6" bestFit="1" customWidth="1"/>
    <col min="5" max="5" width="24.33203125" style="1" bestFit="1" customWidth="1"/>
    <col min="6" max="6" width="9.5546875" style="6" bestFit="1" customWidth="1"/>
    <col min="7" max="7" width="23.77734375" style="1" bestFit="1" customWidth="1"/>
    <col min="8" max="8" width="10.21875" style="6" bestFit="1" customWidth="1"/>
    <col min="9" max="9" width="20.88671875" style="1" bestFit="1" customWidth="1"/>
    <col min="10" max="10" width="10.21875" style="6" bestFit="1" customWidth="1"/>
    <col min="11" max="11" width="22.109375" style="1" bestFit="1" customWidth="1"/>
    <col min="12" max="12" width="10.21875" style="6" bestFit="1" customWidth="1"/>
    <col min="13" max="13" width="21.77734375" style="1" bestFit="1" customWidth="1"/>
    <col min="14" max="16384" width="11.5546875" style="1"/>
  </cols>
  <sheetData>
    <row r="1" spans="1:12" x14ac:dyDescent="0.3">
      <c r="A1" s="23" t="s">
        <v>325</v>
      </c>
      <c r="B1" s="22"/>
      <c r="C1" s="21" t="s">
        <v>326</v>
      </c>
      <c r="D1" s="22" t="s">
        <v>326</v>
      </c>
      <c r="E1" s="23" t="s">
        <v>360</v>
      </c>
      <c r="F1" s="22" t="s">
        <v>326</v>
      </c>
      <c r="G1" s="21" t="s">
        <v>327</v>
      </c>
      <c r="H1" s="22"/>
      <c r="I1" s="21" t="s">
        <v>328</v>
      </c>
      <c r="J1" s="22"/>
      <c r="K1" s="21" t="s">
        <v>329</v>
      </c>
      <c r="L1" s="22"/>
    </row>
    <row r="2" spans="1:12" x14ac:dyDescent="0.3">
      <c r="A2" s="1" t="s">
        <v>0</v>
      </c>
      <c r="B2" s="5">
        <v>0.96342510000000003</v>
      </c>
      <c r="C2" s="4" t="s">
        <v>10</v>
      </c>
      <c r="D2" s="5">
        <v>0.8570335</v>
      </c>
      <c r="E2" s="1" t="s">
        <v>24</v>
      </c>
      <c r="F2" s="5">
        <v>0.99583010000000005</v>
      </c>
      <c r="G2" s="4" t="s">
        <v>27</v>
      </c>
      <c r="H2" s="5">
        <v>-0.40851749999999998</v>
      </c>
      <c r="I2" s="4" t="s">
        <v>39</v>
      </c>
      <c r="J2" s="5">
        <v>-0.80051910000000004</v>
      </c>
      <c r="K2" s="4" t="s">
        <v>47</v>
      </c>
      <c r="L2" s="5">
        <v>0.95816749999999995</v>
      </c>
    </row>
    <row r="3" spans="1:12" x14ac:dyDescent="0.3">
      <c r="A3" s="1" t="s">
        <v>1</v>
      </c>
      <c r="B3" s="5">
        <v>0.9629993</v>
      </c>
      <c r="C3" s="4" t="s">
        <v>11</v>
      </c>
      <c r="D3" s="5">
        <v>0.93221390000000004</v>
      </c>
      <c r="E3" s="1" t="s">
        <v>25</v>
      </c>
      <c r="F3" s="5">
        <v>0.99583010000000005</v>
      </c>
      <c r="G3" s="4" t="s">
        <v>28</v>
      </c>
      <c r="H3" s="5">
        <v>0.76339950000000001</v>
      </c>
      <c r="I3" s="4" t="s">
        <v>40</v>
      </c>
      <c r="J3" s="5">
        <v>0.88674940000000002</v>
      </c>
      <c r="K3" s="4" t="s">
        <v>48</v>
      </c>
      <c r="L3" s="5">
        <v>0.9846627</v>
      </c>
    </row>
    <row r="4" spans="1:12" x14ac:dyDescent="0.3">
      <c r="A4" s="1" t="s">
        <v>2</v>
      </c>
      <c r="B4" s="5">
        <v>0.9815855</v>
      </c>
      <c r="C4" s="4" t="s">
        <v>12</v>
      </c>
      <c r="D4" s="5">
        <v>0.9545633</v>
      </c>
      <c r="F4" s="5"/>
      <c r="G4" s="4" t="s">
        <v>29</v>
      </c>
      <c r="H4" s="5">
        <v>0.87306689999999998</v>
      </c>
      <c r="I4" s="4" t="s">
        <v>41</v>
      </c>
      <c r="J4" s="5">
        <v>-0.51082590000000005</v>
      </c>
      <c r="K4" s="4" t="s">
        <v>49</v>
      </c>
      <c r="L4" s="5">
        <v>0.96206029999999998</v>
      </c>
    </row>
    <row r="5" spans="1:12" x14ac:dyDescent="0.3">
      <c r="A5" s="1" t="s">
        <v>3</v>
      </c>
      <c r="B5" s="5">
        <v>0.96840300000000001</v>
      </c>
      <c r="C5" s="4" t="s">
        <v>13</v>
      </c>
      <c r="D5" s="5">
        <v>0.95500269999999998</v>
      </c>
      <c r="F5" s="5"/>
      <c r="G5" s="4" t="s">
        <v>30</v>
      </c>
      <c r="H5" s="5">
        <v>0.89139239999999997</v>
      </c>
      <c r="I5" s="4" t="s">
        <v>42</v>
      </c>
      <c r="J5" s="5">
        <v>-0.57917030000000003</v>
      </c>
      <c r="K5" s="4" t="s">
        <v>50</v>
      </c>
      <c r="L5" s="5">
        <v>0.99518640000000003</v>
      </c>
    </row>
    <row r="6" spans="1:12" x14ac:dyDescent="0.3">
      <c r="A6" s="1" t="s">
        <v>4</v>
      </c>
      <c r="B6" s="5">
        <v>0.98170009999999996</v>
      </c>
      <c r="C6" s="4" t="s">
        <v>14</v>
      </c>
      <c r="D6" s="5">
        <v>0.98458009999999996</v>
      </c>
      <c r="F6" s="5"/>
      <c r="G6" s="4" t="s">
        <v>35</v>
      </c>
      <c r="H6" s="5">
        <v>0.97583560000000003</v>
      </c>
      <c r="I6" s="4"/>
      <c r="J6" s="5"/>
      <c r="K6" s="4" t="s">
        <v>51</v>
      </c>
      <c r="L6" s="5">
        <v>0.95522600000000002</v>
      </c>
    </row>
    <row r="7" spans="1:12" x14ac:dyDescent="0.3">
      <c r="B7" s="5"/>
      <c r="C7" s="4" t="s">
        <v>15</v>
      </c>
      <c r="D7" s="5">
        <v>0.95167159999999995</v>
      </c>
      <c r="F7" s="5"/>
      <c r="G7" s="4" t="s">
        <v>36</v>
      </c>
      <c r="H7" s="5">
        <v>-0.94723539999999995</v>
      </c>
      <c r="I7" s="4"/>
      <c r="J7" s="5"/>
      <c r="K7" s="4"/>
      <c r="L7" s="5"/>
    </row>
    <row r="8" spans="1:12" x14ac:dyDescent="0.3">
      <c r="B8" s="5"/>
      <c r="C8" s="4" t="s">
        <v>16</v>
      </c>
      <c r="D8" s="5">
        <v>0.98538230000000004</v>
      </c>
      <c r="F8" s="5"/>
      <c r="G8" s="4"/>
      <c r="H8" s="5"/>
      <c r="I8" s="4"/>
      <c r="J8" s="5"/>
      <c r="K8" s="4"/>
      <c r="L8" s="5"/>
    </row>
    <row r="9" spans="1:12" x14ac:dyDescent="0.3">
      <c r="A9" s="23" t="s">
        <v>330</v>
      </c>
      <c r="B9" s="22"/>
      <c r="C9" s="21" t="s">
        <v>331</v>
      </c>
      <c r="D9" s="22"/>
      <c r="E9" s="23" t="s">
        <v>332</v>
      </c>
      <c r="F9" s="22"/>
      <c r="G9" s="21" t="s">
        <v>333</v>
      </c>
      <c r="H9" s="22"/>
      <c r="I9" s="21" t="s">
        <v>334</v>
      </c>
      <c r="J9" s="22"/>
      <c r="K9" s="21" t="s">
        <v>335</v>
      </c>
      <c r="L9" s="22"/>
    </row>
    <row r="10" spans="1:12" x14ac:dyDescent="0.3">
      <c r="A10" s="1" t="s">
        <v>57</v>
      </c>
      <c r="B10" s="5">
        <v>0.71681240000000002</v>
      </c>
      <c r="C10" s="4" t="s">
        <v>67</v>
      </c>
      <c r="D10" s="5">
        <v>0.90842160000000005</v>
      </c>
      <c r="E10" s="1" t="s">
        <v>77</v>
      </c>
      <c r="F10" s="5">
        <v>0.96487339999999999</v>
      </c>
      <c r="G10" s="4" t="s">
        <v>85</v>
      </c>
      <c r="H10" s="5">
        <v>0.9063369</v>
      </c>
      <c r="I10" s="4" t="s">
        <v>93</v>
      </c>
      <c r="J10" s="5">
        <v>0.87154620000000005</v>
      </c>
      <c r="K10" s="4" t="s">
        <v>101</v>
      </c>
      <c r="L10" s="5">
        <v>0.91258150000000005</v>
      </c>
    </row>
    <row r="11" spans="1:12" x14ac:dyDescent="0.3">
      <c r="A11" s="1" t="s">
        <v>58</v>
      </c>
      <c r="B11" s="5">
        <v>0.85599630000000004</v>
      </c>
      <c r="C11" s="4" t="s">
        <v>68</v>
      </c>
      <c r="D11" s="5">
        <v>-0.45114330000000002</v>
      </c>
      <c r="E11" s="1" t="s">
        <v>78</v>
      </c>
      <c r="F11" s="5">
        <v>0.95040409999999997</v>
      </c>
      <c r="G11" s="4" t="s">
        <v>86</v>
      </c>
      <c r="H11" s="5">
        <v>0.90618010000000004</v>
      </c>
      <c r="I11" s="4" t="s">
        <v>94</v>
      </c>
      <c r="J11" s="5">
        <v>0.83533400000000002</v>
      </c>
      <c r="K11" s="4" t="s">
        <v>102</v>
      </c>
      <c r="L11" s="5">
        <v>0.96183569999999996</v>
      </c>
    </row>
    <row r="12" spans="1:12" x14ac:dyDescent="0.3">
      <c r="A12" s="1" t="s">
        <v>59</v>
      </c>
      <c r="B12" s="5">
        <v>0.89476520000000004</v>
      </c>
      <c r="C12" s="4" t="s">
        <v>69</v>
      </c>
      <c r="D12" s="5">
        <v>-0.57853549999999998</v>
      </c>
      <c r="E12" s="1" t="s">
        <v>79</v>
      </c>
      <c r="F12" s="5">
        <v>0.97032180000000001</v>
      </c>
      <c r="G12" s="4" t="s">
        <v>87</v>
      </c>
      <c r="H12" s="5">
        <v>0.9053099</v>
      </c>
      <c r="I12" s="4" t="s">
        <v>95</v>
      </c>
      <c r="J12" s="5">
        <v>0.84059799999999996</v>
      </c>
      <c r="K12" s="4" t="s">
        <v>103</v>
      </c>
      <c r="L12" s="5">
        <v>0.95291459999999995</v>
      </c>
    </row>
    <row r="13" spans="1:12" x14ac:dyDescent="0.3">
      <c r="A13" s="1" t="s">
        <v>60</v>
      </c>
      <c r="B13" s="5">
        <v>0.98040749999999999</v>
      </c>
      <c r="C13" s="4" t="s">
        <v>70</v>
      </c>
      <c r="D13" s="5">
        <v>-0.53721830000000004</v>
      </c>
      <c r="E13" s="1" t="s">
        <v>80</v>
      </c>
      <c r="F13" s="5">
        <v>0.98135799999999995</v>
      </c>
      <c r="G13" s="4" t="s">
        <v>88</v>
      </c>
      <c r="H13" s="5">
        <v>0.90808149999999999</v>
      </c>
      <c r="I13" s="4" t="s">
        <v>96</v>
      </c>
      <c r="J13" s="5">
        <v>0.86272689999999996</v>
      </c>
      <c r="K13" s="4"/>
      <c r="L13" s="5"/>
    </row>
    <row r="14" spans="1:12" x14ac:dyDescent="0.3">
      <c r="A14" s="1" t="s">
        <v>65</v>
      </c>
      <c r="B14" s="5">
        <v>-0.95159640000000001</v>
      </c>
      <c r="C14" s="4" t="s">
        <v>75</v>
      </c>
      <c r="D14" s="5">
        <v>0.89649869999999998</v>
      </c>
      <c r="F14" s="5"/>
      <c r="G14" s="4"/>
      <c r="H14" s="5"/>
      <c r="I14" s="4"/>
      <c r="J14" s="5"/>
      <c r="K14" s="4"/>
      <c r="L14" s="5"/>
    </row>
    <row r="15" spans="1:12" x14ac:dyDescent="0.3">
      <c r="A15" s="18" t="s">
        <v>336</v>
      </c>
      <c r="B15" s="25"/>
      <c r="C15" s="24" t="s">
        <v>337</v>
      </c>
      <c r="D15" s="25"/>
      <c r="E15" s="18" t="s">
        <v>338</v>
      </c>
      <c r="F15" s="25"/>
      <c r="G15" s="24" t="s">
        <v>339</v>
      </c>
      <c r="H15" s="25"/>
      <c r="I15" s="24" t="s">
        <v>340</v>
      </c>
      <c r="J15" s="25"/>
      <c r="K15" s="24" t="s">
        <v>341</v>
      </c>
      <c r="L15" s="25"/>
    </row>
    <row r="16" spans="1:12" x14ac:dyDescent="0.3">
      <c r="A16" s="1" t="s">
        <v>107</v>
      </c>
      <c r="B16" s="5">
        <v>0.95570549999999999</v>
      </c>
      <c r="C16" s="4" t="s">
        <v>110</v>
      </c>
      <c r="D16" s="5">
        <v>0.88719619999999999</v>
      </c>
      <c r="E16" s="1" t="s">
        <v>113</v>
      </c>
      <c r="F16" s="5">
        <v>0.932168</v>
      </c>
      <c r="G16" s="4" t="s">
        <v>121</v>
      </c>
      <c r="H16" s="5">
        <v>0.60399979999999998</v>
      </c>
      <c r="I16" s="4" t="s">
        <v>135</v>
      </c>
      <c r="J16" s="5">
        <v>0.60846920000000004</v>
      </c>
      <c r="K16" s="4" t="s">
        <v>147</v>
      </c>
      <c r="L16" s="5">
        <v>0.83067679999999999</v>
      </c>
    </row>
    <row r="17" spans="1:12" x14ac:dyDescent="0.3">
      <c r="A17" s="1" t="s">
        <v>108</v>
      </c>
      <c r="B17" s="5">
        <v>0.95570549999999999</v>
      </c>
      <c r="C17" s="4" t="s">
        <v>111</v>
      </c>
      <c r="D17" s="5">
        <v>0.88719619999999999</v>
      </c>
      <c r="E17" s="1" t="s">
        <v>114</v>
      </c>
      <c r="F17" s="5">
        <v>0.79638500000000001</v>
      </c>
      <c r="G17" s="4" t="s">
        <v>122</v>
      </c>
      <c r="H17" s="5">
        <v>0.99267249999999996</v>
      </c>
      <c r="I17" s="4" t="s">
        <v>136</v>
      </c>
      <c r="J17" s="5">
        <v>0.66419859999999997</v>
      </c>
      <c r="K17" s="4" t="s">
        <v>148</v>
      </c>
      <c r="L17" s="5">
        <v>-0.90783689999999995</v>
      </c>
    </row>
    <row r="18" spans="1:12" x14ac:dyDescent="0.3">
      <c r="B18" s="5"/>
      <c r="C18" s="4"/>
      <c r="D18" s="5"/>
      <c r="E18" s="1" t="s">
        <v>115</v>
      </c>
      <c r="F18" s="5">
        <v>0.89811010000000002</v>
      </c>
      <c r="G18" s="4" t="s">
        <v>123</v>
      </c>
      <c r="H18" s="5">
        <v>0.98800109999999997</v>
      </c>
      <c r="I18" s="4" t="s">
        <v>137</v>
      </c>
      <c r="J18" s="5">
        <v>0.68080189999999996</v>
      </c>
      <c r="K18" s="4" t="s">
        <v>149</v>
      </c>
      <c r="L18" s="5">
        <v>0.95987460000000002</v>
      </c>
    </row>
    <row r="19" spans="1:12" x14ac:dyDescent="0.3">
      <c r="B19" s="5"/>
      <c r="C19" s="4"/>
      <c r="D19" s="5"/>
      <c r="E19" s="1" t="s">
        <v>116</v>
      </c>
      <c r="F19" s="5">
        <v>0.87066180000000004</v>
      </c>
      <c r="G19" s="4" t="s">
        <v>124</v>
      </c>
      <c r="H19" s="5">
        <v>0.99338519999999997</v>
      </c>
      <c r="I19" s="4" t="s">
        <v>138</v>
      </c>
      <c r="J19" s="5">
        <v>0.89805889999999999</v>
      </c>
      <c r="K19" s="4" t="s">
        <v>150</v>
      </c>
      <c r="L19" s="5">
        <v>-0.94489290000000004</v>
      </c>
    </row>
    <row r="20" spans="1:12" x14ac:dyDescent="0.3">
      <c r="B20" s="5"/>
      <c r="C20" s="4"/>
      <c r="D20" s="5"/>
      <c r="F20" s="5"/>
      <c r="G20" s="4" t="s">
        <v>129</v>
      </c>
      <c r="H20" s="5">
        <v>0.98138669999999995</v>
      </c>
      <c r="I20" s="4" t="s">
        <v>143</v>
      </c>
      <c r="J20" s="5">
        <v>0.98101090000000002</v>
      </c>
      <c r="K20" s="4" t="s">
        <v>155</v>
      </c>
      <c r="L20" s="5">
        <v>0.97173790000000004</v>
      </c>
    </row>
    <row r="21" spans="1:12" x14ac:dyDescent="0.3">
      <c r="B21" s="5"/>
      <c r="C21" s="4"/>
      <c r="D21" s="5"/>
      <c r="F21" s="5"/>
      <c r="G21" s="4" t="s">
        <v>130</v>
      </c>
      <c r="H21" s="5">
        <v>0.97535079999999996</v>
      </c>
      <c r="I21" s="4" t="s">
        <v>144</v>
      </c>
      <c r="J21" s="5">
        <v>0.98499879999999995</v>
      </c>
      <c r="K21" s="4" t="s">
        <v>156</v>
      </c>
      <c r="L21" s="5">
        <v>-0.95291079999999995</v>
      </c>
    </row>
    <row r="22" spans="1:12" x14ac:dyDescent="0.3">
      <c r="B22" s="5"/>
      <c r="C22" s="4"/>
      <c r="D22" s="5"/>
      <c r="F22" s="5"/>
      <c r="G22" s="4" t="s">
        <v>131</v>
      </c>
      <c r="H22" s="5">
        <v>0.85527850000000005</v>
      </c>
      <c r="I22" s="4"/>
      <c r="J22" s="5"/>
      <c r="K22" s="4" t="s">
        <v>157</v>
      </c>
      <c r="L22" s="5">
        <v>0.96396809999999999</v>
      </c>
    </row>
    <row r="23" spans="1:12" x14ac:dyDescent="0.3">
      <c r="A23" s="23" t="s">
        <v>342</v>
      </c>
      <c r="B23" s="22"/>
      <c r="C23" s="21" t="s">
        <v>343</v>
      </c>
      <c r="D23" s="22"/>
      <c r="E23" s="23" t="s">
        <v>344</v>
      </c>
      <c r="F23" s="22"/>
      <c r="G23" s="21" t="s">
        <v>345</v>
      </c>
      <c r="H23" s="22"/>
      <c r="I23" s="21" t="s">
        <v>346</v>
      </c>
      <c r="J23" s="22"/>
      <c r="K23" s="21" t="s">
        <v>347</v>
      </c>
      <c r="L23" s="22"/>
    </row>
    <row r="24" spans="1:12" x14ac:dyDescent="0.3">
      <c r="A24" s="1" t="s">
        <v>161</v>
      </c>
      <c r="B24" s="5">
        <v>1</v>
      </c>
      <c r="C24" s="4" t="s">
        <v>162</v>
      </c>
      <c r="D24" s="5">
        <v>0.9869464</v>
      </c>
      <c r="E24" s="1" t="s">
        <v>180</v>
      </c>
      <c r="F24" s="5">
        <v>0.57337930000000004</v>
      </c>
      <c r="G24" s="4" t="s">
        <v>196</v>
      </c>
      <c r="H24" s="5">
        <v>0.8789631</v>
      </c>
      <c r="I24" s="4" t="s">
        <v>204</v>
      </c>
      <c r="J24" s="5">
        <v>0.99014659999999999</v>
      </c>
      <c r="K24" s="4" t="s">
        <v>210</v>
      </c>
      <c r="L24" s="5">
        <v>0.98071940000000002</v>
      </c>
    </row>
    <row r="25" spans="1:12" x14ac:dyDescent="0.3">
      <c r="B25" s="5"/>
      <c r="C25" s="4" t="s">
        <v>163</v>
      </c>
      <c r="D25" s="5">
        <v>0.97168279999999996</v>
      </c>
      <c r="E25" s="1" t="s">
        <v>181</v>
      </c>
      <c r="F25" s="5">
        <v>0.517432</v>
      </c>
      <c r="G25" s="4" t="s">
        <v>197</v>
      </c>
      <c r="H25" s="5">
        <v>0.99638550000000004</v>
      </c>
      <c r="I25" s="4" t="s">
        <v>205</v>
      </c>
      <c r="J25" s="5">
        <v>0.99958659999999999</v>
      </c>
      <c r="K25" s="4" t="s">
        <v>211</v>
      </c>
      <c r="L25" s="5">
        <v>0.98071940000000002</v>
      </c>
    </row>
    <row r="26" spans="1:12" x14ac:dyDescent="0.3">
      <c r="B26" s="5"/>
      <c r="C26" s="4" t="s">
        <v>164</v>
      </c>
      <c r="D26" s="5">
        <v>0.98162470000000002</v>
      </c>
      <c r="E26" s="1" t="s">
        <v>182</v>
      </c>
      <c r="F26" s="5">
        <v>0.49876589999999998</v>
      </c>
      <c r="G26" s="4" t="s">
        <v>198</v>
      </c>
      <c r="H26" s="5">
        <v>0.98222609999999999</v>
      </c>
      <c r="I26" s="4" t="s">
        <v>206</v>
      </c>
      <c r="J26" s="5">
        <v>0.99360599999999999</v>
      </c>
      <c r="K26" s="4"/>
      <c r="L26" s="5"/>
    </row>
    <row r="27" spans="1:12" x14ac:dyDescent="0.3">
      <c r="B27" s="5"/>
      <c r="C27" s="4" t="s">
        <v>165</v>
      </c>
      <c r="D27" s="5">
        <v>0.97684340000000003</v>
      </c>
      <c r="E27" s="1" t="s">
        <v>183</v>
      </c>
      <c r="F27" s="5">
        <v>0.77025710000000003</v>
      </c>
      <c r="G27" s="4" t="s">
        <v>199</v>
      </c>
      <c r="H27" s="5">
        <v>0.9482642</v>
      </c>
      <c r="I27" s="4"/>
      <c r="J27" s="5"/>
      <c r="K27" s="4"/>
      <c r="L27" s="5"/>
    </row>
    <row r="28" spans="1:12" x14ac:dyDescent="0.3">
      <c r="B28" s="5"/>
      <c r="C28" s="4" t="s">
        <v>166</v>
      </c>
      <c r="D28" s="5">
        <v>0.98708470000000004</v>
      </c>
      <c r="E28" s="1" t="s">
        <v>184</v>
      </c>
      <c r="F28" s="5">
        <v>0.79116649999999999</v>
      </c>
      <c r="G28" s="4"/>
      <c r="H28" s="5"/>
      <c r="I28" s="4"/>
      <c r="J28" s="5"/>
      <c r="K28" s="4"/>
      <c r="L28" s="5"/>
    </row>
    <row r="29" spans="1:12" x14ac:dyDescent="0.3">
      <c r="B29" s="5"/>
      <c r="C29" s="4" t="s">
        <v>167</v>
      </c>
      <c r="D29" s="5">
        <v>0.98480650000000003</v>
      </c>
      <c r="E29" s="1" t="s">
        <v>190</v>
      </c>
      <c r="F29" s="5">
        <v>0.83845210000000003</v>
      </c>
      <c r="G29" s="4"/>
      <c r="H29" s="5"/>
      <c r="I29" s="4"/>
      <c r="J29" s="5"/>
      <c r="K29" s="4"/>
      <c r="L29" s="5"/>
    </row>
    <row r="30" spans="1:12" x14ac:dyDescent="0.3">
      <c r="B30" s="5"/>
      <c r="C30" s="4" t="s">
        <v>174</v>
      </c>
      <c r="D30" s="5">
        <v>0.98794850000000001</v>
      </c>
      <c r="E30" s="1" t="s">
        <v>191</v>
      </c>
      <c r="F30" s="5">
        <v>0.94767219999999996</v>
      </c>
      <c r="G30" s="4"/>
      <c r="H30" s="5"/>
      <c r="I30" s="4"/>
      <c r="J30" s="5"/>
      <c r="K30" s="4"/>
      <c r="L30" s="5"/>
    </row>
    <row r="31" spans="1:12" x14ac:dyDescent="0.3">
      <c r="B31" s="5"/>
      <c r="C31" s="4" t="s">
        <v>175</v>
      </c>
      <c r="D31" s="5">
        <v>0.97420030000000002</v>
      </c>
      <c r="E31" s="1" t="s">
        <v>192</v>
      </c>
      <c r="F31" s="5">
        <v>0.96079190000000003</v>
      </c>
      <c r="G31" s="4"/>
      <c r="H31" s="5"/>
      <c r="I31" s="4"/>
      <c r="J31" s="5"/>
      <c r="K31" s="4"/>
      <c r="L31" s="5"/>
    </row>
    <row r="32" spans="1:12" x14ac:dyDescent="0.3">
      <c r="B32" s="5"/>
      <c r="C32" s="4" t="s">
        <v>176</v>
      </c>
      <c r="D32" s="5">
        <v>0.98149850000000005</v>
      </c>
      <c r="F32" s="5"/>
      <c r="G32" s="4"/>
      <c r="H32" s="5"/>
      <c r="I32" s="4"/>
      <c r="J32" s="5"/>
      <c r="K32" s="4"/>
      <c r="L32" s="5"/>
    </row>
    <row r="33" spans="1:12" x14ac:dyDescent="0.3">
      <c r="A33" s="23" t="s">
        <v>348</v>
      </c>
      <c r="B33" s="22"/>
      <c r="C33" s="21" t="s">
        <v>349</v>
      </c>
      <c r="D33" s="22"/>
      <c r="E33" s="23" t="s">
        <v>350</v>
      </c>
      <c r="F33" s="22"/>
      <c r="G33" s="21" t="s">
        <v>351</v>
      </c>
      <c r="H33" s="22"/>
      <c r="I33" s="21" t="s">
        <v>352</v>
      </c>
      <c r="J33" s="22"/>
      <c r="K33" s="21" t="s">
        <v>353</v>
      </c>
      <c r="L33" s="22"/>
    </row>
    <row r="34" spans="1:12" x14ac:dyDescent="0.3">
      <c r="A34" s="1" t="s">
        <v>213</v>
      </c>
      <c r="B34" s="5">
        <v>0.99253499999999995</v>
      </c>
      <c r="C34" s="4" t="s">
        <v>221</v>
      </c>
      <c r="D34" s="5">
        <v>0.98638610000000004</v>
      </c>
      <c r="E34" s="1" t="s">
        <v>229</v>
      </c>
      <c r="F34" s="5">
        <v>-0.72707350000000004</v>
      </c>
      <c r="G34" s="4" t="s">
        <v>233</v>
      </c>
      <c r="H34" s="5">
        <v>0.90141320000000003</v>
      </c>
      <c r="I34" s="4" t="s">
        <v>245</v>
      </c>
      <c r="J34" s="5">
        <v>0.88224849999999999</v>
      </c>
      <c r="K34" s="4" t="s">
        <v>259</v>
      </c>
      <c r="L34" s="5">
        <v>0.89845750000000002</v>
      </c>
    </row>
    <row r="35" spans="1:12" x14ac:dyDescent="0.3">
      <c r="A35" s="1" t="s">
        <v>214</v>
      </c>
      <c r="B35" s="5">
        <v>0.99061770000000005</v>
      </c>
      <c r="C35" s="4" t="s">
        <v>222</v>
      </c>
      <c r="D35" s="5">
        <v>0.99809780000000003</v>
      </c>
      <c r="E35" s="1" t="s">
        <v>230</v>
      </c>
      <c r="F35" s="5">
        <v>0.72707350000000004</v>
      </c>
      <c r="G35" s="4" t="s">
        <v>234</v>
      </c>
      <c r="H35" s="5">
        <v>0.89210350000000005</v>
      </c>
      <c r="I35" s="4" t="s">
        <v>246</v>
      </c>
      <c r="J35" s="5">
        <v>0.85235660000000002</v>
      </c>
      <c r="K35" s="4" t="s">
        <v>260</v>
      </c>
      <c r="L35" s="5">
        <v>0.8940823</v>
      </c>
    </row>
    <row r="36" spans="1:12" x14ac:dyDescent="0.3">
      <c r="A36" s="1" t="s">
        <v>215</v>
      </c>
      <c r="B36" s="5">
        <v>0.99109139999999996</v>
      </c>
      <c r="C36" s="4" t="s">
        <v>223</v>
      </c>
      <c r="D36" s="5">
        <v>0.99435629999999997</v>
      </c>
      <c r="F36" s="5"/>
      <c r="G36" s="4" t="s">
        <v>235</v>
      </c>
      <c r="H36" s="5">
        <v>0.86387840000000005</v>
      </c>
      <c r="I36" s="4" t="s">
        <v>247</v>
      </c>
      <c r="J36" s="5">
        <v>0.94826809999999995</v>
      </c>
      <c r="K36" s="4" t="s">
        <v>261</v>
      </c>
      <c r="L36" s="5">
        <v>0.9766454</v>
      </c>
    </row>
    <row r="37" spans="1:12" x14ac:dyDescent="0.3">
      <c r="A37" s="1" t="s">
        <v>216</v>
      </c>
      <c r="B37" s="5">
        <v>0.99383549999999998</v>
      </c>
      <c r="C37" s="4" t="s">
        <v>224</v>
      </c>
      <c r="D37" s="5">
        <v>0.9861453</v>
      </c>
      <c r="F37" s="5"/>
      <c r="G37" s="4" t="s">
        <v>236</v>
      </c>
      <c r="H37" s="5">
        <v>0.89827520000000005</v>
      </c>
      <c r="I37" s="4" t="s">
        <v>248</v>
      </c>
      <c r="J37" s="5">
        <v>0.92355419999999999</v>
      </c>
      <c r="K37" s="4" t="s">
        <v>262</v>
      </c>
      <c r="L37" s="5">
        <v>0.97247479999999997</v>
      </c>
    </row>
    <row r="38" spans="1:12" x14ac:dyDescent="0.3">
      <c r="B38" s="5"/>
      <c r="C38" s="4"/>
      <c r="D38" s="5"/>
      <c r="F38" s="5"/>
      <c r="G38" s="4" t="s">
        <v>237</v>
      </c>
      <c r="H38" s="5">
        <v>0.89619349999999998</v>
      </c>
      <c r="I38" s="4" t="s">
        <v>249</v>
      </c>
      <c r="J38" s="5">
        <v>0.96812220000000004</v>
      </c>
      <c r="K38" s="4" t="s">
        <v>263</v>
      </c>
      <c r="L38" s="5">
        <v>0.98650769999999999</v>
      </c>
    </row>
    <row r="39" spans="1:12" x14ac:dyDescent="0.3">
      <c r="B39" s="5"/>
      <c r="C39" s="4"/>
      <c r="D39" s="5"/>
      <c r="F39" s="5"/>
      <c r="G39" s="4" t="s">
        <v>243</v>
      </c>
      <c r="H39" s="5">
        <v>0.88130900000000001</v>
      </c>
      <c r="I39" s="4" t="s">
        <v>250</v>
      </c>
      <c r="J39" s="5">
        <v>0.94779219999999997</v>
      </c>
      <c r="K39" s="4" t="s">
        <v>269</v>
      </c>
      <c r="L39" s="5">
        <v>0.98503989999999997</v>
      </c>
    </row>
    <row r="40" spans="1:12" x14ac:dyDescent="0.3">
      <c r="B40" s="5"/>
      <c r="C40" s="4"/>
      <c r="D40" s="5"/>
      <c r="F40" s="5"/>
      <c r="G40" s="4"/>
      <c r="H40" s="5"/>
      <c r="I40" s="4" t="s">
        <v>251</v>
      </c>
      <c r="J40" s="5">
        <v>0.97027859999999999</v>
      </c>
      <c r="K40" s="4" t="s">
        <v>270</v>
      </c>
      <c r="L40" s="5">
        <v>0.98434410000000006</v>
      </c>
    </row>
    <row r="41" spans="1:12" x14ac:dyDescent="0.3">
      <c r="A41" s="23" t="s">
        <v>354</v>
      </c>
      <c r="B41" s="22"/>
      <c r="C41" s="21" t="s">
        <v>355</v>
      </c>
      <c r="D41" s="22"/>
      <c r="E41" s="23" t="s">
        <v>356</v>
      </c>
      <c r="F41" s="22"/>
      <c r="G41" s="21" t="s">
        <v>357</v>
      </c>
      <c r="H41" s="22"/>
      <c r="I41" s="7" t="s">
        <v>358</v>
      </c>
      <c r="J41" s="8"/>
      <c r="K41" s="7" t="s">
        <v>361</v>
      </c>
      <c r="L41" s="8"/>
    </row>
    <row r="42" spans="1:12" x14ac:dyDescent="0.3">
      <c r="A42" s="1" t="s">
        <v>273</v>
      </c>
      <c r="B42" s="5">
        <v>0.95545089999999999</v>
      </c>
      <c r="C42" s="4" t="s">
        <v>283</v>
      </c>
      <c r="D42" s="5">
        <v>0.73884700000000003</v>
      </c>
      <c r="E42" s="1" t="s">
        <v>286</v>
      </c>
      <c r="F42" s="5">
        <v>0.69743100000000002</v>
      </c>
      <c r="G42" s="4" t="s">
        <v>302</v>
      </c>
      <c r="H42" s="5">
        <v>0.89656080000000005</v>
      </c>
      <c r="I42" s="4" t="s">
        <v>308</v>
      </c>
      <c r="J42" s="5">
        <v>0.99279030000000001</v>
      </c>
      <c r="K42" s="4" t="s">
        <v>314</v>
      </c>
      <c r="L42" s="5">
        <v>0.95794919999999995</v>
      </c>
    </row>
    <row r="43" spans="1:12" x14ac:dyDescent="0.3">
      <c r="A43" s="1" t="s">
        <v>274</v>
      </c>
      <c r="B43" s="5">
        <v>0.95533710000000005</v>
      </c>
      <c r="C43" s="4" t="s">
        <v>284</v>
      </c>
      <c r="D43" s="5">
        <v>0.73884700000000003</v>
      </c>
      <c r="E43" s="1" t="s">
        <v>287</v>
      </c>
      <c r="F43" s="5">
        <v>0.75740850000000004</v>
      </c>
      <c r="G43" s="4" t="s">
        <v>303</v>
      </c>
      <c r="H43" s="5">
        <v>0.97054629999999997</v>
      </c>
      <c r="I43" s="4" t="s">
        <v>309</v>
      </c>
      <c r="J43" s="5">
        <v>0.999915</v>
      </c>
      <c r="K43" s="4" t="s">
        <v>315</v>
      </c>
      <c r="L43" s="5">
        <v>0.9985115</v>
      </c>
    </row>
    <row r="44" spans="1:12" x14ac:dyDescent="0.3">
      <c r="A44" s="1" t="s">
        <v>275</v>
      </c>
      <c r="B44" s="5">
        <v>0.97689859999999995</v>
      </c>
      <c r="C44" s="4"/>
      <c r="D44" s="5"/>
      <c r="E44" s="1" t="s">
        <v>288</v>
      </c>
      <c r="F44" s="5">
        <v>0.73104550000000001</v>
      </c>
      <c r="G44" s="4" t="s">
        <v>304</v>
      </c>
      <c r="H44" s="5">
        <v>0.96867720000000002</v>
      </c>
      <c r="I44" s="4" t="s">
        <v>310</v>
      </c>
      <c r="J44" s="5">
        <v>0.99328139999999998</v>
      </c>
      <c r="K44" s="4" t="s">
        <v>316</v>
      </c>
      <c r="L44" s="5">
        <v>0.9936064</v>
      </c>
    </row>
    <row r="45" spans="1:12" x14ac:dyDescent="0.3">
      <c r="A45" s="1" t="s">
        <v>276</v>
      </c>
      <c r="B45" s="5">
        <v>0.95772869999999999</v>
      </c>
      <c r="C45" s="4"/>
      <c r="D45" s="5"/>
      <c r="E45" s="1" t="s">
        <v>289</v>
      </c>
      <c r="F45" s="5">
        <v>0.68519490000000005</v>
      </c>
      <c r="G45" s="4"/>
      <c r="H45" s="5"/>
      <c r="I45" s="4"/>
      <c r="J45" s="5"/>
      <c r="K45" s="4" t="s">
        <v>317</v>
      </c>
      <c r="L45" s="5">
        <v>0.97689110000000001</v>
      </c>
    </row>
    <row r="46" spans="1:12" x14ac:dyDescent="0.3">
      <c r="A46" s="1" t="s">
        <v>277</v>
      </c>
      <c r="B46" s="5">
        <v>0.98878529999999998</v>
      </c>
      <c r="C46" s="4"/>
      <c r="D46" s="5"/>
      <c r="E46" s="1" t="s">
        <v>290</v>
      </c>
      <c r="F46" s="5">
        <v>0.71829120000000002</v>
      </c>
      <c r="G46" s="4"/>
      <c r="H46" s="5"/>
      <c r="I46" s="4"/>
      <c r="J46" s="5"/>
      <c r="K46" s="4"/>
      <c r="L46" s="5"/>
    </row>
    <row r="47" spans="1:12" x14ac:dyDescent="0.3">
      <c r="B47" s="5"/>
      <c r="C47" s="4"/>
      <c r="D47" s="5"/>
      <c r="E47" s="1" t="s">
        <v>291</v>
      </c>
      <c r="F47" s="5">
        <v>0.85026460000000004</v>
      </c>
      <c r="G47" s="4"/>
      <c r="H47" s="5"/>
      <c r="I47" s="4"/>
      <c r="J47" s="5"/>
      <c r="K47" s="4"/>
      <c r="L47" s="5"/>
    </row>
    <row r="48" spans="1:12" x14ac:dyDescent="0.3">
      <c r="B48" s="5"/>
      <c r="C48" s="4"/>
      <c r="D48" s="5"/>
      <c r="E48" s="1" t="s">
        <v>298</v>
      </c>
      <c r="F48" s="5">
        <v>0.84204900000000005</v>
      </c>
      <c r="G48" s="4"/>
      <c r="H48" s="5"/>
      <c r="I48" s="4"/>
      <c r="J48" s="5"/>
      <c r="K48" s="4"/>
      <c r="L48" s="5"/>
    </row>
    <row r="49" spans="2:12" x14ac:dyDescent="0.3">
      <c r="B49" s="5"/>
      <c r="C49" s="4"/>
      <c r="D49" s="5"/>
      <c r="E49" s="1" t="s">
        <v>299</v>
      </c>
      <c r="F49" s="5">
        <v>0.82452550000000002</v>
      </c>
      <c r="G49" s="4"/>
      <c r="H49" s="5"/>
      <c r="I49" s="4"/>
      <c r="J49" s="5"/>
      <c r="K49" s="4"/>
      <c r="L49" s="5"/>
    </row>
    <row r="50" spans="2:12" x14ac:dyDescent="0.3">
      <c r="F50" s="5"/>
      <c r="G50" s="4"/>
      <c r="H50" s="5"/>
    </row>
  </sheetData>
  <mergeCells count="34">
    <mergeCell ref="A41:B41"/>
    <mergeCell ref="C41:D41"/>
    <mergeCell ref="E41:F41"/>
    <mergeCell ref="G41:H41"/>
    <mergeCell ref="A33:B33"/>
    <mergeCell ref="C33:D33"/>
    <mergeCell ref="E33:F33"/>
    <mergeCell ref="G33:H33"/>
    <mergeCell ref="I33:J33"/>
    <mergeCell ref="K33:L33"/>
    <mergeCell ref="A23:B23"/>
    <mergeCell ref="C23:D23"/>
    <mergeCell ref="E23:F23"/>
    <mergeCell ref="G23:H23"/>
    <mergeCell ref="I23:J23"/>
    <mergeCell ref="K23:L23"/>
    <mergeCell ref="K15:L15"/>
    <mergeCell ref="A9:B9"/>
    <mergeCell ref="C9:D9"/>
    <mergeCell ref="E9:F9"/>
    <mergeCell ref="G9:H9"/>
    <mergeCell ref="I9:J9"/>
    <mergeCell ref="K9:L9"/>
    <mergeCell ref="A15:B15"/>
    <mergeCell ref="C15:D15"/>
    <mergeCell ref="E15:F15"/>
    <mergeCell ref="G15:H15"/>
    <mergeCell ref="I15:J15"/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D4" workbookViewId="0">
      <selection activeCell="O15" sqref="O15"/>
    </sheetView>
  </sheetViews>
  <sheetFormatPr baseColWidth="10" defaultRowHeight="14.4" x14ac:dyDescent="0.3"/>
  <cols>
    <col min="2" max="2" width="15.44140625" bestFit="1" customWidth="1"/>
    <col min="3" max="5" width="18.6640625" bestFit="1" customWidth="1"/>
    <col min="8" max="8" width="14.21875" bestFit="1" customWidth="1"/>
    <col min="9" max="10" width="11.6640625" bestFit="1" customWidth="1"/>
    <col min="11" max="11" width="12.44140625" bestFit="1" customWidth="1"/>
    <col min="12" max="14" width="11.6640625" bestFit="1" customWidth="1"/>
  </cols>
  <sheetData>
    <row r="1" spans="1:14" x14ac:dyDescent="0.3">
      <c r="C1" t="s">
        <v>362</v>
      </c>
      <c r="D1" t="s">
        <v>363</v>
      </c>
      <c r="E1" t="s">
        <v>364</v>
      </c>
      <c r="G1" s="9"/>
      <c r="H1" s="9"/>
      <c r="I1" s="9"/>
      <c r="J1" s="9"/>
      <c r="K1" s="9"/>
      <c r="L1" s="9"/>
      <c r="M1" s="9"/>
      <c r="N1" s="9"/>
    </row>
    <row r="2" spans="1:14" x14ac:dyDescent="0.3">
      <c r="A2" s="27" t="s">
        <v>428</v>
      </c>
      <c r="C2">
        <v>13.711272508557499</v>
      </c>
      <c r="D2">
        <v>345.46384621110002</v>
      </c>
      <c r="E2">
        <v>187.99897766113199</v>
      </c>
      <c r="G2" s="19"/>
      <c r="H2" s="2"/>
      <c r="I2" s="10"/>
      <c r="J2" s="10"/>
      <c r="K2" s="10"/>
      <c r="L2" s="10"/>
      <c r="M2" s="10"/>
      <c r="N2" s="10"/>
    </row>
    <row r="3" spans="1:14" x14ac:dyDescent="0.3">
      <c r="A3" s="27"/>
      <c r="B3" t="s">
        <v>365</v>
      </c>
      <c r="C3">
        <v>14.854723504017199</v>
      </c>
      <c r="D3">
        <v>364.27357676564702</v>
      </c>
      <c r="E3">
        <v>220.66281127929599</v>
      </c>
      <c r="G3" s="20"/>
      <c r="H3" s="3"/>
      <c r="I3" s="11"/>
      <c r="J3" s="11"/>
      <c r="K3" s="11"/>
      <c r="L3" s="11"/>
      <c r="M3" s="11"/>
      <c r="N3" s="11"/>
    </row>
    <row r="4" spans="1:14" x14ac:dyDescent="0.3">
      <c r="A4" s="27"/>
      <c r="C4">
        <v>14.248469892008901</v>
      </c>
      <c r="D4">
        <v>362.49427735902799</v>
      </c>
      <c r="E4">
        <v>203.01889038085901</v>
      </c>
      <c r="G4" s="18"/>
      <c r="H4" s="1"/>
      <c r="I4" s="12"/>
      <c r="J4" s="12"/>
      <c r="K4" s="12"/>
      <c r="L4" s="12"/>
      <c r="M4" s="12"/>
      <c r="N4" s="12"/>
    </row>
    <row r="5" spans="1:14" x14ac:dyDescent="0.3">
      <c r="A5" s="27"/>
      <c r="C5">
        <v>14.5438463313148</v>
      </c>
      <c r="D5">
        <v>458.032572832818</v>
      </c>
      <c r="E5">
        <v>211.52348327636699</v>
      </c>
      <c r="G5" s="20"/>
      <c r="H5" s="3"/>
      <c r="I5" s="11"/>
      <c r="J5" s="11"/>
      <c r="K5" s="11"/>
      <c r="L5" s="11"/>
      <c r="M5" s="11"/>
      <c r="N5" s="11"/>
    </row>
    <row r="6" spans="1:14" x14ac:dyDescent="0.3">
      <c r="A6" s="27"/>
      <c r="B6" s="3"/>
      <c r="C6" s="3">
        <v>14.363899323292999</v>
      </c>
      <c r="D6" s="3">
        <v>437.72049040206798</v>
      </c>
      <c r="E6" s="3">
        <v>206.32159423828099</v>
      </c>
      <c r="G6" s="18"/>
      <c r="H6" s="1"/>
      <c r="I6" s="10"/>
      <c r="J6" s="10"/>
      <c r="K6" s="10"/>
      <c r="L6" s="10"/>
      <c r="M6" s="10"/>
      <c r="N6" s="10"/>
    </row>
    <row r="7" spans="1:14" x14ac:dyDescent="0.3">
      <c r="A7" s="27"/>
      <c r="B7" t="s">
        <v>366</v>
      </c>
      <c r="C7">
        <v>29.9687986737225</v>
      </c>
      <c r="D7">
        <v>2033.49647548795</v>
      </c>
      <c r="E7">
        <v>898.12890625</v>
      </c>
      <c r="G7" s="20"/>
      <c r="H7" s="3"/>
      <c r="I7" s="11"/>
      <c r="J7" s="11"/>
      <c r="K7" s="11"/>
      <c r="L7" s="11"/>
      <c r="M7" s="11"/>
      <c r="N7" s="11"/>
    </row>
    <row r="8" spans="1:14" x14ac:dyDescent="0.3">
      <c r="A8" s="27"/>
      <c r="C8">
        <v>28.8459445967903</v>
      </c>
      <c r="D8">
        <v>1967.82924347932</v>
      </c>
      <c r="E8">
        <v>832.08850097656205</v>
      </c>
      <c r="G8" s="14"/>
      <c r="H8" s="2"/>
      <c r="I8" s="10"/>
      <c r="J8" s="10"/>
      <c r="K8" s="10"/>
      <c r="L8" s="10"/>
      <c r="M8" s="10"/>
      <c r="N8" s="10"/>
    </row>
    <row r="9" spans="1:14" x14ac:dyDescent="0.3">
      <c r="A9" s="27"/>
      <c r="C9">
        <v>28.0596977796537</v>
      </c>
      <c r="D9">
        <v>1822.02706723702</v>
      </c>
      <c r="E9">
        <v>787.34661865234295</v>
      </c>
      <c r="G9" s="15"/>
      <c r="H9" s="1"/>
      <c r="I9" s="23" t="s">
        <v>362</v>
      </c>
      <c r="J9" s="23"/>
      <c r="K9" s="23" t="s">
        <v>363</v>
      </c>
      <c r="L9" s="23"/>
      <c r="M9" s="23" t="s">
        <v>364</v>
      </c>
      <c r="N9" s="23"/>
    </row>
    <row r="10" spans="1:14" x14ac:dyDescent="0.3">
      <c r="A10" s="27"/>
      <c r="C10">
        <v>28.940212695843599</v>
      </c>
      <c r="D10">
        <v>1941.4069535944</v>
      </c>
      <c r="E10">
        <v>837.535888671875</v>
      </c>
      <c r="G10" s="9"/>
      <c r="H10" s="9"/>
      <c r="I10" s="3" t="s">
        <v>464</v>
      </c>
      <c r="J10" s="3" t="s">
        <v>465</v>
      </c>
      <c r="K10" s="3" t="s">
        <v>464</v>
      </c>
      <c r="L10" s="3" t="s">
        <v>465</v>
      </c>
      <c r="M10" s="3" t="s">
        <v>464</v>
      </c>
      <c r="N10" s="3" t="s">
        <v>466</v>
      </c>
    </row>
    <row r="11" spans="1:14" x14ac:dyDescent="0.3">
      <c r="A11" s="28"/>
      <c r="B11" s="3"/>
      <c r="C11" s="3">
        <v>27.6156338203286</v>
      </c>
      <c r="D11" s="3">
        <v>1697.60440211376</v>
      </c>
      <c r="E11" s="3">
        <v>762.623291015625</v>
      </c>
      <c r="G11" s="1" t="s">
        <v>428</v>
      </c>
      <c r="H11" s="1" t="s">
        <v>462</v>
      </c>
      <c r="I11" s="13">
        <v>14.344442311838279</v>
      </c>
      <c r="J11" s="13">
        <v>0.42149796515647908</v>
      </c>
      <c r="K11" s="13">
        <v>393.59695271413221</v>
      </c>
      <c r="L11" s="13">
        <v>50.603528659253769</v>
      </c>
      <c r="M11" s="13">
        <v>205.90515136718699</v>
      </c>
      <c r="N11" s="13">
        <v>12.025900833832354</v>
      </c>
    </row>
    <row r="12" spans="1:14" x14ac:dyDescent="0.3">
      <c r="A12" s="26" t="s">
        <v>429</v>
      </c>
      <c r="C12">
        <v>16.742476801337801</v>
      </c>
      <c r="D12">
        <v>1304.57673910524</v>
      </c>
      <c r="E12">
        <v>280.310546875</v>
      </c>
      <c r="G12" s="1"/>
      <c r="H12" s="1" t="s">
        <v>463</v>
      </c>
      <c r="I12" s="13">
        <v>28.686057513267741</v>
      </c>
      <c r="J12" s="13">
        <v>0.90467079914890292</v>
      </c>
      <c r="K12" s="13">
        <v>1892.4728283824902</v>
      </c>
      <c r="L12" s="13">
        <v>133.13256154040792</v>
      </c>
      <c r="M12" s="13">
        <v>823.54464111328093</v>
      </c>
      <c r="N12" s="13">
        <v>52.089521219237056</v>
      </c>
    </row>
    <row r="13" spans="1:14" x14ac:dyDescent="0.3">
      <c r="A13" s="27"/>
      <c r="B13" t="s">
        <v>367</v>
      </c>
      <c r="C13">
        <v>19.041899044682999</v>
      </c>
      <c r="D13">
        <v>8248.4578960562703</v>
      </c>
      <c r="E13">
        <v>362.59393310546801</v>
      </c>
      <c r="G13" s="1" t="s">
        <v>429</v>
      </c>
      <c r="H13" s="1" t="s">
        <v>462</v>
      </c>
      <c r="I13" s="13">
        <v>17.57961524382408</v>
      </c>
      <c r="J13" s="13">
        <v>0.88269670448026749</v>
      </c>
      <c r="K13" s="13">
        <v>2933.3082343471301</v>
      </c>
      <c r="L13" s="13">
        <v>2980.9263756324822</v>
      </c>
      <c r="M13" s="13">
        <v>309.66620483398401</v>
      </c>
      <c r="N13" s="13">
        <v>31.724867659067076</v>
      </c>
    </row>
    <row r="14" spans="1:14" x14ac:dyDescent="0.3">
      <c r="A14" s="27"/>
      <c r="C14">
        <v>17.6354935541952</v>
      </c>
      <c r="D14">
        <v>1783.96431932766</v>
      </c>
      <c r="E14">
        <v>311.010650634765</v>
      </c>
      <c r="G14" s="1"/>
      <c r="H14" s="1" t="s">
        <v>463</v>
      </c>
      <c r="I14" s="13">
        <v>25.711906644976001</v>
      </c>
      <c r="J14" s="13">
        <v>1.4314071978593961</v>
      </c>
      <c r="K14" s="13">
        <v>6086.1145817942697</v>
      </c>
      <c r="L14" s="13">
        <v>3132.8161569123768</v>
      </c>
      <c r="M14" s="13">
        <v>662.74129638671855</v>
      </c>
      <c r="N14" s="13">
        <v>72.257673814823761</v>
      </c>
    </row>
    <row r="15" spans="1:14" x14ac:dyDescent="0.3">
      <c r="A15" s="27"/>
      <c r="C15">
        <v>17.093294976921701</v>
      </c>
      <c r="D15">
        <v>1889.20562483454</v>
      </c>
      <c r="E15">
        <v>292.18072509765602</v>
      </c>
      <c r="G15" s="1" t="s">
        <v>430</v>
      </c>
      <c r="H15" s="1" t="s">
        <v>462</v>
      </c>
      <c r="I15" s="13">
        <v>16.022491168561743</v>
      </c>
      <c r="J15" s="13">
        <v>0.8898499140314462</v>
      </c>
      <c r="K15" s="13">
        <v>1096.402203973726</v>
      </c>
      <c r="L15" s="13">
        <v>73.196959113754986</v>
      </c>
      <c r="M15" s="13">
        <v>257.35369873046841</v>
      </c>
      <c r="N15" s="13">
        <v>29.359126847288962</v>
      </c>
    </row>
    <row r="16" spans="1:14" x14ac:dyDescent="0.3">
      <c r="A16" s="27"/>
      <c r="B16" s="3"/>
      <c r="C16" s="3">
        <v>17.384911841982699</v>
      </c>
      <c r="D16" s="3">
        <v>1440.33659241194</v>
      </c>
      <c r="E16" s="3">
        <v>302.23516845703102</v>
      </c>
      <c r="G16" s="1"/>
      <c r="H16" s="1" t="s">
        <v>463</v>
      </c>
      <c r="I16" s="13">
        <v>27.626671787382218</v>
      </c>
      <c r="J16" s="13">
        <v>1.2144108443750745</v>
      </c>
      <c r="K16" s="13">
        <v>1514.6424481519582</v>
      </c>
      <c r="L16" s="13">
        <v>200.88409389065114</v>
      </c>
      <c r="M16" s="13">
        <v>764.41282958984357</v>
      </c>
      <c r="N16" s="13">
        <v>68.609965247454198</v>
      </c>
    </row>
    <row r="17" spans="1:14" x14ac:dyDescent="0.3">
      <c r="A17" s="27"/>
      <c r="B17" t="s">
        <v>366</v>
      </c>
      <c r="C17">
        <v>23.540787197435002</v>
      </c>
      <c r="D17">
        <v>3249.1237708226599</v>
      </c>
      <c r="E17">
        <v>554.168701171875</v>
      </c>
      <c r="G17" s="1" t="s">
        <v>431</v>
      </c>
      <c r="H17" s="1" t="s">
        <v>462</v>
      </c>
      <c r="I17" s="13">
        <v>17.484275095812741</v>
      </c>
      <c r="J17" s="13">
        <v>1.8897951472242891</v>
      </c>
      <c r="K17" s="13">
        <v>2700.2535872009057</v>
      </c>
      <c r="L17" s="13">
        <v>1814.6557278454945</v>
      </c>
      <c r="M17" s="13">
        <v>308.55693969726497</v>
      </c>
      <c r="N17" s="13">
        <v>64.27019559755837</v>
      </c>
    </row>
    <row r="18" spans="1:14" x14ac:dyDescent="0.3">
      <c r="A18" s="27"/>
      <c r="C18">
        <v>26.6089953749138</v>
      </c>
      <c r="D18">
        <v>10540.0416416351</v>
      </c>
      <c r="E18">
        <v>708.03869628906205</v>
      </c>
      <c r="G18" s="3"/>
      <c r="H18" s="3" t="s">
        <v>463</v>
      </c>
      <c r="I18" s="11">
        <v>31.309718460486842</v>
      </c>
      <c r="J18" s="11">
        <v>2.2218080194203877</v>
      </c>
      <c r="K18" s="11">
        <v>13125.930348308108</v>
      </c>
      <c r="L18" s="11">
        <v>5054.6518759626597</v>
      </c>
      <c r="M18" s="11">
        <v>984.24764404296707</v>
      </c>
      <c r="N18" s="11">
        <v>136.64109608217117</v>
      </c>
    </row>
    <row r="19" spans="1:14" x14ac:dyDescent="0.3">
      <c r="A19" s="27"/>
      <c r="C19">
        <v>24.949041218410599</v>
      </c>
      <c r="D19">
        <v>4426.8467224710403</v>
      </c>
      <c r="E19">
        <v>622.45465087890602</v>
      </c>
    </row>
    <row r="20" spans="1:14" x14ac:dyDescent="0.3">
      <c r="A20" s="27"/>
      <c r="C20">
        <v>26.832192355852001</v>
      </c>
      <c r="D20">
        <v>4031.4553264104002</v>
      </c>
      <c r="E20">
        <v>719.966552734375</v>
      </c>
    </row>
    <row r="21" spans="1:14" x14ac:dyDescent="0.3">
      <c r="A21" s="27"/>
      <c r="B21" s="3"/>
      <c r="C21" s="3">
        <v>26.628517078268601</v>
      </c>
      <c r="D21" s="3">
        <v>8183.1054476321497</v>
      </c>
      <c r="E21" s="3">
        <v>709.077880859375</v>
      </c>
    </row>
    <row r="22" spans="1:14" x14ac:dyDescent="0.3">
      <c r="A22" s="26" t="s">
        <v>430</v>
      </c>
      <c r="C22">
        <v>17.544059161153001</v>
      </c>
      <c r="D22">
        <v>1048.6754734932699</v>
      </c>
      <c r="E22">
        <v>307.79403686523398</v>
      </c>
      <c r="I22">
        <f>AVERAGE(C22:C26)</f>
        <v>16.022491168561743</v>
      </c>
      <c r="J22">
        <f>STDEV(C22:C26)</f>
        <v>0.8898499140314462</v>
      </c>
      <c r="K22">
        <f>AVERAGE(D22:D26)</f>
        <v>1096.402203973726</v>
      </c>
      <c r="L22">
        <f>STDEV(D22:D26)</f>
        <v>73.196959113754986</v>
      </c>
      <c r="M22">
        <f>AVERAGE(E22:E26)</f>
        <v>257.35369873046841</v>
      </c>
      <c r="N22">
        <f>STDEV(E22:E26)</f>
        <v>29.359126847288962</v>
      </c>
    </row>
    <row r="23" spans="1:14" x14ac:dyDescent="0.3">
      <c r="A23" s="27"/>
      <c r="B23" t="s">
        <v>367</v>
      </c>
      <c r="C23">
        <v>15.3703329767954</v>
      </c>
      <c r="D23">
        <v>1056.08929845328</v>
      </c>
      <c r="E23">
        <v>236.24713134765599</v>
      </c>
    </row>
    <row r="24" spans="1:14" x14ac:dyDescent="0.3">
      <c r="A24" s="27"/>
      <c r="C24">
        <v>15.391460475179001</v>
      </c>
      <c r="D24">
        <v>1027.06400528773</v>
      </c>
      <c r="E24">
        <v>236.89706420898401</v>
      </c>
    </row>
    <row r="25" spans="1:14" x14ac:dyDescent="0.3">
      <c r="A25" s="27"/>
      <c r="C25">
        <v>15.8923476334325</v>
      </c>
      <c r="D25">
        <v>1188.0628389706201</v>
      </c>
      <c r="E25">
        <v>252.56674194335901</v>
      </c>
    </row>
    <row r="26" spans="1:14" x14ac:dyDescent="0.3">
      <c r="A26" s="27"/>
      <c r="B26" s="3"/>
      <c r="C26" s="3">
        <v>15.9142555962488</v>
      </c>
      <c r="D26" s="3">
        <v>1162.1194036637301</v>
      </c>
      <c r="E26" s="3">
        <v>253.26351928710901</v>
      </c>
    </row>
    <row r="27" spans="1:14" x14ac:dyDescent="0.3">
      <c r="A27" s="27"/>
      <c r="B27" t="s">
        <v>366</v>
      </c>
      <c r="C27">
        <v>27.169471791412999</v>
      </c>
      <c r="D27">
        <v>1606.8094501156299</v>
      </c>
      <c r="E27">
        <v>738.18017578125</v>
      </c>
      <c r="I27">
        <f>AVERAGE(C27:C31)</f>
        <v>27.626671787382218</v>
      </c>
      <c r="J27">
        <f>STDEV(C27:C31)</f>
        <v>1.2144108443750745</v>
      </c>
      <c r="K27">
        <f>AVERAGE(D27:D31)</f>
        <v>1514.6424481519582</v>
      </c>
      <c r="L27">
        <f>STDEV(D27:D31)</f>
        <v>200.88409389065114</v>
      </c>
      <c r="M27">
        <f>AVERAGE(E27:E31)</f>
        <v>764.41282958984357</v>
      </c>
      <c r="N27">
        <f>STDEV(E27:E31)</f>
        <v>68.609965247454198</v>
      </c>
    </row>
    <row r="28" spans="1:14" x14ac:dyDescent="0.3">
      <c r="A28" s="27"/>
      <c r="C28">
        <v>27.634919543323299</v>
      </c>
      <c r="D28">
        <v>1340.8603127239701</v>
      </c>
      <c r="E28">
        <v>763.68884277343705</v>
      </c>
    </row>
    <row r="29" spans="1:14" x14ac:dyDescent="0.3">
      <c r="A29" s="27"/>
      <c r="C29">
        <v>26.5606359771899</v>
      </c>
      <c r="D29">
        <v>1262.1155646270299</v>
      </c>
      <c r="E29">
        <v>705.46734619140602</v>
      </c>
    </row>
    <row r="30" spans="1:14" x14ac:dyDescent="0.3">
      <c r="A30" s="27"/>
      <c r="C30">
        <v>29.689165465592598</v>
      </c>
      <c r="D30">
        <v>1721.25722484435</v>
      </c>
      <c r="E30">
        <v>881.446533203125</v>
      </c>
    </row>
    <row r="31" spans="1:14" x14ac:dyDescent="0.3">
      <c r="A31" s="27"/>
      <c r="B31" s="3"/>
      <c r="C31" s="3">
        <v>27.079166159392301</v>
      </c>
      <c r="D31" s="3">
        <v>1642.1696884488099</v>
      </c>
      <c r="E31" s="3">
        <v>733.28125</v>
      </c>
    </row>
    <row r="32" spans="1:14" x14ac:dyDescent="0.3">
      <c r="A32" s="26" t="s">
        <v>431</v>
      </c>
      <c r="C32">
        <v>18.902429976928801</v>
      </c>
      <c r="D32">
        <v>2310.9333245166199</v>
      </c>
      <c r="E32">
        <v>357.30184936523398</v>
      </c>
      <c r="I32">
        <f>AVERAGE(C32:C36)</f>
        <v>17.484275095812741</v>
      </c>
      <c r="J32">
        <f>STDEV(C32:C36)</f>
        <v>1.8897951472242891</v>
      </c>
      <c r="K32">
        <f>AVERAGE(D32:D36)</f>
        <v>2700.2535872009057</v>
      </c>
      <c r="L32">
        <f>STDEV(D32:D36)</f>
        <v>1814.6557278454945</v>
      </c>
      <c r="M32">
        <f>AVERAGE(E32:E36)</f>
        <v>308.55693969726497</v>
      </c>
      <c r="N32">
        <f>STDEV(E32:E36)</f>
        <v>64.27019559755837</v>
      </c>
    </row>
    <row r="33" spans="1:14" x14ac:dyDescent="0.3">
      <c r="A33" s="27"/>
      <c r="B33" t="s">
        <v>367</v>
      </c>
      <c r="C33">
        <v>14.837873822451501</v>
      </c>
      <c r="D33">
        <v>1377.8402549530099</v>
      </c>
      <c r="E33">
        <v>220.162506103515</v>
      </c>
    </row>
    <row r="34" spans="1:14" x14ac:dyDescent="0.3">
      <c r="A34" s="27"/>
      <c r="C34">
        <v>18.8568683861339</v>
      </c>
      <c r="D34">
        <v>2858.68511221175</v>
      </c>
      <c r="E34">
        <v>355.58148193359301</v>
      </c>
    </row>
    <row r="35" spans="1:14" x14ac:dyDescent="0.3">
      <c r="A35" s="27"/>
      <c r="C35">
        <v>16.112819253820501</v>
      </c>
      <c r="D35">
        <v>1236.3600292290801</v>
      </c>
      <c r="E35">
        <v>259.622955322265</v>
      </c>
    </row>
    <row r="36" spans="1:14" x14ac:dyDescent="0.3">
      <c r="A36" s="27"/>
      <c r="B36" s="3"/>
      <c r="C36" s="3">
        <v>18.711384039729001</v>
      </c>
      <c r="D36" s="3">
        <v>5717.4492150940696</v>
      </c>
      <c r="E36" s="3">
        <v>350.11590576171801</v>
      </c>
    </row>
    <row r="37" spans="1:14" x14ac:dyDescent="0.3">
      <c r="A37" s="27"/>
      <c r="B37" t="s">
        <v>366</v>
      </c>
      <c r="C37">
        <v>33.517714045114701</v>
      </c>
      <c r="D37">
        <v>20798.5199741336</v>
      </c>
      <c r="E37">
        <v>1123.43713378906</v>
      </c>
      <c r="I37">
        <f>AVERAGE(C37:C41)</f>
        <v>31.309718460486842</v>
      </c>
      <c r="J37">
        <f>STDEV(C37:C41)</f>
        <v>2.2218080194203877</v>
      </c>
      <c r="K37">
        <f>AVERAGE(D37:D41)</f>
        <v>13125.930348308108</v>
      </c>
      <c r="L37">
        <f>STDEV(D37:D41)</f>
        <v>5054.6518759626597</v>
      </c>
      <c r="M37">
        <f>AVERAGE(E37:E41)</f>
        <v>984.24764404296707</v>
      </c>
      <c r="N37">
        <f>STDEV(E37:E41)</f>
        <v>136.64109608217117</v>
      </c>
    </row>
    <row r="38" spans="1:14" x14ac:dyDescent="0.3">
      <c r="A38" s="27"/>
      <c r="C38">
        <v>30.657440278461898</v>
      </c>
      <c r="D38">
        <v>11337.076397589301</v>
      </c>
      <c r="E38">
        <v>939.87872314453102</v>
      </c>
    </row>
    <row r="39" spans="1:14" x14ac:dyDescent="0.3">
      <c r="A39" s="27"/>
      <c r="C39">
        <v>27.935599790851001</v>
      </c>
      <c r="D39">
        <v>7179.7443951605301</v>
      </c>
      <c r="E39">
        <v>780.39776611328102</v>
      </c>
    </row>
    <row r="40" spans="1:14" x14ac:dyDescent="0.3">
      <c r="A40" s="27"/>
      <c r="C40">
        <v>33.057681215049101</v>
      </c>
      <c r="D40">
        <v>14701.5509867621</v>
      </c>
      <c r="E40">
        <v>1092.81030273437</v>
      </c>
    </row>
    <row r="41" spans="1:14" x14ac:dyDescent="0.3">
      <c r="A41" s="27"/>
      <c r="C41">
        <v>31.380156972957501</v>
      </c>
      <c r="D41">
        <v>11612.759987895</v>
      </c>
      <c r="E41">
        <v>984.71429443359295</v>
      </c>
    </row>
  </sheetData>
  <mergeCells count="10">
    <mergeCell ref="I9:J9"/>
    <mergeCell ref="K9:L9"/>
    <mergeCell ref="M9:N9"/>
    <mergeCell ref="A32:A41"/>
    <mergeCell ref="G2:G3"/>
    <mergeCell ref="G4:G5"/>
    <mergeCell ref="G6:G7"/>
    <mergeCell ref="A2:A11"/>
    <mergeCell ref="A12:A21"/>
    <mergeCell ref="A22:A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G17" sqref="G17"/>
    </sheetView>
  </sheetViews>
  <sheetFormatPr baseColWidth="10" defaultRowHeight="14.4" x14ac:dyDescent="0.3"/>
  <sheetData>
    <row r="1" spans="1:5" x14ac:dyDescent="0.3">
      <c r="A1" s="9" t="s">
        <v>467</v>
      </c>
      <c r="B1" s="9" t="s">
        <v>428</v>
      </c>
      <c r="C1" s="9" t="s">
        <v>429</v>
      </c>
      <c r="D1" s="9" t="s">
        <v>430</v>
      </c>
      <c r="E1" s="9" t="s">
        <v>431</v>
      </c>
    </row>
    <row r="2" spans="1:5" x14ac:dyDescent="0.3">
      <c r="A2" t="s">
        <v>468</v>
      </c>
      <c r="B2">
        <v>30</v>
      </c>
      <c r="C2">
        <v>40</v>
      </c>
      <c r="D2">
        <v>35</v>
      </c>
      <c r="E2">
        <v>40</v>
      </c>
    </row>
    <row r="3" spans="1:5" x14ac:dyDescent="0.3">
      <c r="A3" t="s">
        <v>469</v>
      </c>
      <c r="B3">
        <v>0.1</v>
      </c>
      <c r="C3">
        <v>0.2</v>
      </c>
      <c r="D3">
        <v>0.1</v>
      </c>
      <c r="E3">
        <v>0.3</v>
      </c>
    </row>
    <row r="4" spans="1:5" x14ac:dyDescent="0.3">
      <c r="A4" t="s">
        <v>470</v>
      </c>
      <c r="B4">
        <v>120</v>
      </c>
      <c r="C4">
        <v>120</v>
      </c>
      <c r="D4">
        <v>125</v>
      </c>
      <c r="E4">
        <v>120</v>
      </c>
    </row>
    <row r="5" spans="1:5" x14ac:dyDescent="0.3">
      <c r="A5" t="s">
        <v>478</v>
      </c>
      <c r="B5">
        <v>1</v>
      </c>
      <c r="C5">
        <v>1</v>
      </c>
      <c r="D5">
        <v>1</v>
      </c>
      <c r="E5">
        <v>1</v>
      </c>
    </row>
    <row r="6" spans="1:5" x14ac:dyDescent="0.3">
      <c r="A6" t="s">
        <v>471</v>
      </c>
      <c r="B6">
        <v>128</v>
      </c>
      <c r="C6">
        <v>32</v>
      </c>
      <c r="D6">
        <v>64</v>
      </c>
      <c r="E6">
        <v>64</v>
      </c>
    </row>
    <row r="7" spans="1:5" x14ac:dyDescent="0.3">
      <c r="A7" t="s">
        <v>472</v>
      </c>
      <c r="B7">
        <v>0.2</v>
      </c>
      <c r="C7">
        <v>0.1</v>
      </c>
      <c r="D7">
        <v>0.2</v>
      </c>
      <c r="E7">
        <v>0.2</v>
      </c>
    </row>
    <row r="8" spans="1:5" x14ac:dyDescent="0.3">
      <c r="A8" t="s">
        <v>473</v>
      </c>
      <c r="B8" t="s">
        <v>474</v>
      </c>
      <c r="C8" t="s">
        <v>474</v>
      </c>
      <c r="D8" t="s">
        <v>474</v>
      </c>
      <c r="E8" t="s">
        <v>474</v>
      </c>
    </row>
    <row r="9" spans="1:5" x14ac:dyDescent="0.3">
      <c r="A9" t="s">
        <v>479</v>
      </c>
      <c r="B9">
        <v>64</v>
      </c>
      <c r="C9">
        <v>128</v>
      </c>
      <c r="D9">
        <v>32</v>
      </c>
      <c r="E9">
        <v>32</v>
      </c>
    </row>
    <row r="10" spans="1:5" x14ac:dyDescent="0.3">
      <c r="A10" t="s">
        <v>480</v>
      </c>
      <c r="B10">
        <v>1E-3</v>
      </c>
      <c r="C10">
        <v>1E-3</v>
      </c>
      <c r="D10">
        <v>1E-3</v>
      </c>
      <c r="E10">
        <v>1E-3</v>
      </c>
    </row>
    <row r="11" spans="1:5" x14ac:dyDescent="0.3">
      <c r="A11" t="s">
        <v>475</v>
      </c>
      <c r="B11" t="s">
        <v>476</v>
      </c>
      <c r="C11" t="s">
        <v>476</v>
      </c>
      <c r="D11" t="s">
        <v>476</v>
      </c>
      <c r="E11" t="s">
        <v>476</v>
      </c>
    </row>
    <row r="12" spans="1:5" x14ac:dyDescent="0.3">
      <c r="A12" t="s">
        <v>481</v>
      </c>
      <c r="B12">
        <v>5</v>
      </c>
      <c r="C12">
        <v>4</v>
      </c>
      <c r="D12">
        <v>4</v>
      </c>
      <c r="E12">
        <v>5</v>
      </c>
    </row>
    <row r="13" spans="1:5" x14ac:dyDescent="0.3">
      <c r="A13" t="s">
        <v>477</v>
      </c>
      <c r="B13">
        <v>40</v>
      </c>
      <c r="C13">
        <v>50</v>
      </c>
      <c r="D13">
        <v>40</v>
      </c>
      <c r="E13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baseColWidth="10" defaultRowHeight="14.4" x14ac:dyDescent="0.3"/>
  <cols>
    <col min="2" max="4" width="18.6640625" bestFit="1" customWidth="1"/>
  </cols>
  <sheetData>
    <row r="1" spans="1:4" x14ac:dyDescent="0.3">
      <c r="B1" t="s">
        <v>362</v>
      </c>
      <c r="C1" t="s">
        <v>363</v>
      </c>
      <c r="D1" t="s">
        <v>364</v>
      </c>
    </row>
    <row r="2" spans="1:4" x14ac:dyDescent="0.3">
      <c r="B2" t="s">
        <v>383</v>
      </c>
      <c r="C2" t="s">
        <v>384</v>
      </c>
      <c r="D2" t="s">
        <v>385</v>
      </c>
    </row>
    <row r="3" spans="1:4" x14ac:dyDescent="0.3">
      <c r="A3" t="s">
        <v>367</v>
      </c>
      <c r="B3" t="s">
        <v>386</v>
      </c>
      <c r="C3" t="s">
        <v>387</v>
      </c>
      <c r="D3" t="s">
        <v>388</v>
      </c>
    </row>
    <row r="4" spans="1:4" x14ac:dyDescent="0.3">
      <c r="B4" t="s">
        <v>389</v>
      </c>
      <c r="C4" t="s">
        <v>390</v>
      </c>
      <c r="D4" t="s">
        <v>391</v>
      </c>
    </row>
    <row r="5" spans="1:4" x14ac:dyDescent="0.3">
      <c r="B5" t="s">
        <v>392</v>
      </c>
      <c r="C5" t="s">
        <v>393</v>
      </c>
      <c r="D5" t="s">
        <v>394</v>
      </c>
    </row>
    <row r="6" spans="1:4" x14ac:dyDescent="0.3">
      <c r="A6" s="3"/>
      <c r="B6" s="3" t="s">
        <v>395</v>
      </c>
      <c r="C6" s="3" t="s">
        <v>396</v>
      </c>
      <c r="D6" s="3" t="s">
        <v>397</v>
      </c>
    </row>
    <row r="7" spans="1:4" x14ac:dyDescent="0.3">
      <c r="A7" t="s">
        <v>366</v>
      </c>
      <c r="B7" t="s">
        <v>368</v>
      </c>
      <c r="C7" t="s">
        <v>369</v>
      </c>
      <c r="D7" t="s">
        <v>370</v>
      </c>
    </row>
    <row r="8" spans="1:4" x14ac:dyDescent="0.3">
      <c r="B8" t="s">
        <v>371</v>
      </c>
      <c r="C8" t="s">
        <v>372</v>
      </c>
      <c r="D8" t="s">
        <v>373</v>
      </c>
    </row>
    <row r="9" spans="1:4" x14ac:dyDescent="0.3">
      <c r="B9" t="s">
        <v>374</v>
      </c>
      <c r="C9" t="s">
        <v>375</v>
      </c>
      <c r="D9" t="s">
        <v>376</v>
      </c>
    </row>
    <row r="10" spans="1:4" x14ac:dyDescent="0.3">
      <c r="B10" t="s">
        <v>377</v>
      </c>
      <c r="C10" t="s">
        <v>378</v>
      </c>
      <c r="D10" t="s">
        <v>379</v>
      </c>
    </row>
    <row r="11" spans="1:4" x14ac:dyDescent="0.3">
      <c r="B11" t="s">
        <v>380</v>
      </c>
      <c r="C11" t="s">
        <v>381</v>
      </c>
      <c r="D11" t="s">
        <v>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26" sqref="F26"/>
    </sheetView>
  </sheetViews>
  <sheetFormatPr baseColWidth="10" defaultRowHeight="14.4" x14ac:dyDescent="0.3"/>
  <sheetData>
    <row r="1" spans="1:5" x14ac:dyDescent="0.3">
      <c r="B1" t="s">
        <v>362</v>
      </c>
      <c r="C1" t="s">
        <v>363</v>
      </c>
      <c r="D1" t="s">
        <v>364</v>
      </c>
    </row>
    <row r="2" spans="1:5" x14ac:dyDescent="0.3">
      <c r="B2" t="s">
        <v>432</v>
      </c>
      <c r="C2" t="s">
        <v>433</v>
      </c>
      <c r="D2" t="s">
        <v>434</v>
      </c>
    </row>
    <row r="3" spans="1:5" x14ac:dyDescent="0.3">
      <c r="A3" t="s">
        <v>367</v>
      </c>
      <c r="B3" t="s">
        <v>435</v>
      </c>
      <c r="C3" t="s">
        <v>436</v>
      </c>
      <c r="D3" t="s">
        <v>437</v>
      </c>
    </row>
    <row r="4" spans="1:5" x14ac:dyDescent="0.3">
      <c r="B4" t="s">
        <v>438</v>
      </c>
      <c r="C4" t="s">
        <v>439</v>
      </c>
      <c r="D4" t="s">
        <v>440</v>
      </c>
    </row>
    <row r="5" spans="1:5" x14ac:dyDescent="0.3">
      <c r="B5" t="s">
        <v>441</v>
      </c>
      <c r="C5" t="s">
        <v>442</v>
      </c>
      <c r="D5" t="s">
        <v>443</v>
      </c>
    </row>
    <row r="6" spans="1:5" x14ac:dyDescent="0.3">
      <c r="A6" s="3"/>
      <c r="B6" s="3" t="s">
        <v>444</v>
      </c>
      <c r="C6" s="3" t="s">
        <v>445</v>
      </c>
      <c r="D6" s="3" t="s">
        <v>446</v>
      </c>
      <c r="E6" s="3"/>
    </row>
    <row r="7" spans="1:5" x14ac:dyDescent="0.3">
      <c r="A7" t="s">
        <v>366</v>
      </c>
      <c r="B7" t="s">
        <v>447</v>
      </c>
      <c r="C7" t="s">
        <v>448</v>
      </c>
      <c r="D7" t="s">
        <v>449</v>
      </c>
    </row>
    <row r="8" spans="1:5" x14ac:dyDescent="0.3">
      <c r="B8" t="s">
        <v>450</v>
      </c>
      <c r="C8" t="s">
        <v>451</v>
      </c>
      <c r="D8" t="s">
        <v>452</v>
      </c>
    </row>
    <row r="9" spans="1:5" x14ac:dyDescent="0.3">
      <c r="B9" t="s">
        <v>453</v>
      </c>
      <c r="C9" t="s">
        <v>454</v>
      </c>
      <c r="D9" t="s">
        <v>455</v>
      </c>
    </row>
    <row r="10" spans="1:5" x14ac:dyDescent="0.3">
      <c r="B10" t="s">
        <v>456</v>
      </c>
      <c r="C10" t="s">
        <v>457</v>
      </c>
      <c r="D10" t="s">
        <v>458</v>
      </c>
    </row>
    <row r="11" spans="1:5" x14ac:dyDescent="0.3">
      <c r="B11" t="s">
        <v>459</v>
      </c>
      <c r="C11" t="s">
        <v>460</v>
      </c>
      <c r="D11" t="s">
        <v>461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A2" sqref="A2:D11"/>
    </sheetView>
  </sheetViews>
  <sheetFormatPr baseColWidth="10" defaultRowHeight="14.4" x14ac:dyDescent="0.3"/>
  <cols>
    <col min="2" max="4" width="18.6640625" bestFit="1" customWidth="1"/>
  </cols>
  <sheetData>
    <row r="1" spans="1:4" x14ac:dyDescent="0.3">
      <c r="B1" t="s">
        <v>362</v>
      </c>
      <c r="C1" t="s">
        <v>363</v>
      </c>
      <c r="D1" t="s">
        <v>364</v>
      </c>
    </row>
    <row r="2" spans="1:4" x14ac:dyDescent="0.3">
      <c r="B2" t="s">
        <v>398</v>
      </c>
      <c r="C2" t="s">
        <v>399</v>
      </c>
      <c r="D2" t="s">
        <v>400</v>
      </c>
    </row>
    <row r="3" spans="1:4" x14ac:dyDescent="0.3">
      <c r="A3" t="s">
        <v>367</v>
      </c>
      <c r="B3" t="s">
        <v>401</v>
      </c>
      <c r="C3" t="s">
        <v>402</v>
      </c>
      <c r="D3" t="s">
        <v>403</v>
      </c>
    </row>
    <row r="4" spans="1:4" x14ac:dyDescent="0.3">
      <c r="B4" t="s">
        <v>404</v>
      </c>
      <c r="C4" t="s">
        <v>405</v>
      </c>
      <c r="D4" t="s">
        <v>406</v>
      </c>
    </row>
    <row r="5" spans="1:4" x14ac:dyDescent="0.3">
      <c r="B5" t="s">
        <v>407</v>
      </c>
      <c r="C5" t="s">
        <v>408</v>
      </c>
      <c r="D5" t="s">
        <v>409</v>
      </c>
    </row>
    <row r="6" spans="1:4" x14ac:dyDescent="0.3">
      <c r="A6" s="3"/>
      <c r="B6" s="3" t="s">
        <v>410</v>
      </c>
      <c r="C6" s="3" t="s">
        <v>411</v>
      </c>
      <c r="D6" s="3" t="s">
        <v>412</v>
      </c>
    </row>
    <row r="7" spans="1:4" x14ac:dyDescent="0.3">
      <c r="A7" t="s">
        <v>366</v>
      </c>
      <c r="B7" t="s">
        <v>413</v>
      </c>
      <c r="C7" t="s">
        <v>414</v>
      </c>
      <c r="D7" t="s">
        <v>415</v>
      </c>
    </row>
    <row r="8" spans="1:4" x14ac:dyDescent="0.3">
      <c r="B8" t="s">
        <v>416</v>
      </c>
      <c r="C8" t="s">
        <v>417</v>
      </c>
      <c r="D8" t="s">
        <v>418</v>
      </c>
    </row>
    <row r="9" spans="1:4" x14ac:dyDescent="0.3">
      <c r="B9" t="s">
        <v>419</v>
      </c>
      <c r="C9" t="s">
        <v>420</v>
      </c>
      <c r="D9" t="s">
        <v>421</v>
      </c>
    </row>
    <row r="10" spans="1:4" x14ac:dyDescent="0.3">
      <c r="B10" t="s">
        <v>422</v>
      </c>
      <c r="C10" t="s">
        <v>423</v>
      </c>
      <c r="D10" t="s">
        <v>424</v>
      </c>
    </row>
    <row r="11" spans="1:4" x14ac:dyDescent="0.3">
      <c r="B11" t="s">
        <v>425</v>
      </c>
      <c r="C11" t="s">
        <v>426</v>
      </c>
      <c r="D11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Feuil1</vt:lpstr>
      <vt:lpstr>Feuil2</vt:lpstr>
      <vt:lpstr>Feuil3</vt:lpstr>
      <vt:lpstr>fd001</vt:lpstr>
      <vt:lpstr>EXPERIMENTALESETTING</vt:lpstr>
      <vt:lpstr>FD002</vt:lpstr>
      <vt:lpstr>fd003</vt:lpstr>
      <vt:lpstr>fd004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NDAO Mouhamadou-Lamine</dc:creator>
  <cp:lastModifiedBy>NDAO Mouhamadou-Lamine</cp:lastModifiedBy>
  <dcterms:created xsi:type="dcterms:W3CDTF">2025-01-02T13:34:31Z</dcterms:created>
  <dcterms:modified xsi:type="dcterms:W3CDTF">2025-01-07T15:16:36Z</dcterms:modified>
</cp:coreProperties>
</file>